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umptions" sheetId="1" state="visible" r:id="rId1"/>
    <sheet xmlns:r="http://schemas.openxmlformats.org/officeDocument/2006/relationships" name="Task Breakdown" sheetId="2" state="visible" r:id="rId2"/>
    <sheet xmlns:r="http://schemas.openxmlformats.org/officeDocument/2006/relationships" name="Cost Model" sheetId="3" state="visible" r:id="rId3"/>
    <sheet xmlns:r="http://schemas.openxmlformats.org/officeDocument/2006/relationships" name="SportPortal Savings" sheetId="4" state="visible" r:id="rId4"/>
    <sheet xmlns:r="http://schemas.openxmlformats.org/officeDocument/2006/relationships" name="Email Audit" sheetId="5" state="visible" r:id="rId5"/>
  </sheets>
  <definedNames/>
  <calcPr calcId="124519" fullCalcOnLoad="1"/>
</workbook>
</file>

<file path=xl/styles.xml><?xml version="1.0" encoding="utf-8"?>
<styleSheet xmlns="http://schemas.openxmlformats.org/spreadsheetml/2006/main">
  <numFmts count="2">
    <numFmt numFmtId="164" formatCode="0.0"/>
    <numFmt numFmtId="165" formatCode="&quot;$&quot;#,##0"/>
  </numFmts>
  <fonts count="34">
    <font>
      <name val="Calibri"/>
      <family val="2"/>
      <color theme="1"/>
      <sz val="11"/>
      <scheme val="minor"/>
    </font>
    <font>
      <name val="Calibri"/>
      <b val="1"/>
      <sz val="14"/>
    </font>
    <font>
      <name val="Calibri"/>
      <i val="1"/>
      <color rgb="00555555"/>
      <sz val="9"/>
    </font>
    <font>
      <name val="Calibri"/>
      <b val="1"/>
      <color rgb="00FFFFFF"/>
      <sz val="10"/>
    </font>
    <font>
      <name val="Calibri"/>
      <color rgb="00000000"/>
      <sz val="10"/>
    </font>
    <font>
      <name val="Calibri"/>
      <color rgb="001F4E79"/>
      <sz val="10"/>
    </font>
    <font>
      <name val="Calibri"/>
      <color rgb="002E75B6"/>
      <sz val="9"/>
    </font>
    <font>
      <name val="Calibri"/>
      <color rgb="00555555"/>
      <sz val="9"/>
    </font>
    <font>
      <name val="Calibri"/>
      <color rgb="00E26B0A"/>
      <sz val="9"/>
    </font>
    <font>
      <name val="Calibri"/>
      <color rgb="001F4E79"/>
      <sz val="9"/>
    </font>
    <font>
      <name val="Calibri"/>
      <b val="1"/>
      <sz val="10"/>
    </font>
    <font>
      <name val="Calibri"/>
      <b val="1"/>
      <color rgb="00FFFFFF"/>
      <sz val="11"/>
    </font>
    <font>
      <name val="Calibri"/>
      <b val="1"/>
      <color rgb="001F4E79"/>
      <sz val="9"/>
    </font>
    <font>
      <name val="Calibri"/>
      <color rgb="00333333"/>
      <sz val="9"/>
    </font>
    <font>
      <name val="Calibri"/>
      <b val="1"/>
      <color rgb="00E26B0A"/>
      <sz val="9"/>
    </font>
    <font>
      <name val="Calibri"/>
      <i val="1"/>
      <color rgb="00CC4400"/>
      <sz val="9"/>
    </font>
    <font>
      <name val="Calibri"/>
      <b val="1"/>
      <sz val="13"/>
    </font>
    <font>
      <name val="Calibri"/>
      <color rgb="00CC0000"/>
      <sz val="10"/>
    </font>
    <font>
      <name val="Calibri"/>
      <color rgb="001A6B1A"/>
      <sz val="10"/>
    </font>
    <font>
      <name val="Calibri"/>
      <b val="1"/>
      <color rgb="001A6B1A"/>
      <sz val="10"/>
    </font>
    <font>
      <name val="Calibri"/>
      <b val="1"/>
      <color rgb="000A4A0A"/>
      <sz val="11"/>
    </font>
    <font>
      <name val="Calibri"/>
      <color rgb="00333333"/>
      <sz val="8"/>
    </font>
    <font>
      <name val="Calibri"/>
      <b val="1"/>
      <color rgb="00FFFFFF"/>
      <sz val="12"/>
    </font>
    <font>
      <name val="Calibri"/>
      <b val="1"/>
      <color rgb="001A6B1A"/>
      <sz val="16"/>
    </font>
    <font>
      <name val="Calibri"/>
      <b val="1"/>
      <sz val="9"/>
    </font>
    <font>
      <name val="Calibri"/>
      <sz val="9"/>
    </font>
    <font>
      <name val="Calibri"/>
      <i val="1"/>
      <color rgb="00555555"/>
      <sz val="8"/>
    </font>
    <font>
      <name val="Calibri"/>
      <b val="1"/>
      <color rgb="00CC0000"/>
      <sz val="10"/>
    </font>
    <font>
      <name val="Calibri"/>
      <b val="1"/>
      <color rgb="001A6B1A"/>
      <sz val="11"/>
    </font>
    <font>
      <name val="Calibri"/>
      <b val="1"/>
      <color rgb="00FFFFFF"/>
      <sz val="9"/>
    </font>
    <font>
      <name val="Calibri"/>
      <color rgb="00885800"/>
      <sz val="9"/>
    </font>
    <font>
      <name val="Calibri"/>
      <i val="1"/>
      <color rgb="00CC0000"/>
      <sz val="8"/>
    </font>
    <font>
      <name val="Calibri"/>
      <color rgb="00555555"/>
      <sz val="8"/>
    </font>
    <font>
      <name val="Calibri"/>
      <color rgb="001A6B1A"/>
      <sz val="8"/>
    </font>
  </fonts>
  <fills count="16">
    <fill>
      <patternFill/>
    </fill>
    <fill>
      <patternFill patternType="gray125"/>
    </fill>
    <fill>
      <patternFill patternType="solid">
        <fgColor rgb="001F4E79"/>
      </patternFill>
    </fill>
    <fill>
      <patternFill patternType="solid">
        <fgColor rgb="00DDEEFF"/>
      </patternFill>
    </fill>
    <fill>
      <patternFill patternType="solid">
        <fgColor rgb="002E75B6"/>
      </patternFill>
    </fill>
    <fill>
      <patternFill patternType="solid">
        <fgColor rgb="00DDFFDD"/>
      </patternFill>
    </fill>
    <fill>
      <patternFill patternType="solid">
        <fgColor rgb="00FFFFF0"/>
      </patternFill>
    </fill>
    <fill>
      <patternFill patternType="solid">
        <fgColor rgb="00FFF0CC"/>
      </patternFill>
    </fill>
    <fill>
      <patternFill patternType="solid">
        <fgColor rgb="00FFF5E6"/>
      </patternFill>
    </fill>
    <fill>
      <patternFill patternType="solid">
        <fgColor rgb="00FCE4D6"/>
      </patternFill>
    </fill>
    <fill>
      <patternFill patternType="solid">
        <fgColor rgb="00D9F0D3"/>
      </patternFill>
    </fill>
    <fill>
      <patternFill patternType="solid">
        <fgColor rgb="00B8E8B0"/>
      </patternFill>
    </fill>
    <fill>
      <patternFill patternType="solid">
        <fgColor rgb="00FFF2CC"/>
      </patternFill>
    </fill>
    <fill>
      <patternFill patternType="solid">
        <fgColor rgb="00D6E4F7"/>
      </patternFill>
    </fill>
    <fill>
      <patternFill patternType="solid">
        <fgColor rgb="00FFF5F5"/>
      </patternFill>
    </fill>
    <fill>
      <patternFill patternType="solid">
        <fgColor rgb="00F0FFF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67">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xf>
    <xf numFmtId="0" fontId="3" fillId="2" borderId="0" applyAlignment="1" pivotButton="0" quotePrefix="0" xfId="0">
      <alignment horizontal="left" vertical="center" indent="1"/>
    </xf>
    <xf numFmtId="0" fontId="4" fillId="0" borderId="1" applyAlignment="1" pivotButton="0" quotePrefix="0" xfId="0">
      <alignment horizontal="left" vertical="center"/>
    </xf>
    <xf numFmtId="0" fontId="5" fillId="3" borderId="1" applyAlignment="1" pivotButton="0" quotePrefix="0" xfId="0">
      <alignment horizontal="center" vertical="center"/>
    </xf>
    <xf numFmtId="0" fontId="6" fillId="0" borderId="1" applyAlignment="1" pivotButton="0" quotePrefix="0" xfId="0">
      <alignment horizontal="left" vertical="center"/>
    </xf>
    <xf numFmtId="0" fontId="7" fillId="0" borderId="1" applyAlignment="1" pivotButton="0" quotePrefix="0" xfId="0">
      <alignment horizontal="left" vertical="center" wrapText="1"/>
    </xf>
    <xf numFmtId="0" fontId="8" fillId="0" borderId="1" applyAlignment="1" pivotButton="0" quotePrefix="0" xfId="0">
      <alignment horizontal="left" vertical="center"/>
    </xf>
    <xf numFmtId="0" fontId="3" fillId="2" borderId="0" applyAlignment="1" pivotButton="0" quotePrefix="0" xfId="0">
      <alignment horizontal="center" vertical="center"/>
    </xf>
    <xf numFmtId="0" fontId="3" fillId="4" borderId="0" applyAlignment="1" pivotButton="0" quotePrefix="0" xfId="0">
      <alignment horizontal="left" vertical="center" indent="1"/>
    </xf>
    <xf numFmtId="0" fontId="0" fillId="0"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left" vertical="center"/>
    </xf>
    <xf numFmtId="0" fontId="3" fillId="2" borderId="0" applyAlignment="1" pivotButton="0" quotePrefix="0" xfId="0">
      <alignment horizontal="center" vertical="center" wrapText="1"/>
    </xf>
    <xf numFmtId="0" fontId="4" fillId="5" borderId="1" applyAlignment="1" pivotButton="0" quotePrefix="0" xfId="0">
      <alignment horizontal="center"/>
    </xf>
    <xf numFmtId="164" fontId="4" fillId="6" borderId="1" applyAlignment="1" pivotButton="0" quotePrefix="0" xfId="0">
      <alignment horizontal="center"/>
    </xf>
    <xf numFmtId="164" fontId="4" fillId="0" borderId="1" applyAlignment="1" pivotButton="0" quotePrefix="0" xfId="0">
      <alignment horizontal="center"/>
    </xf>
    <xf numFmtId="165" fontId="4" fillId="0" borderId="1" applyAlignment="1" pivotButton="0" quotePrefix="0" xfId="0">
      <alignment horizontal="right"/>
    </xf>
    <xf numFmtId="0" fontId="9" fillId="0" borderId="1" applyAlignment="1" pivotButton="0" quotePrefix="0" xfId="0">
      <alignment horizontal="left" vertical="center" wrapText="1"/>
    </xf>
    <xf numFmtId="165" fontId="10" fillId="7" borderId="1" applyAlignment="1" pivotButton="0" quotePrefix="0" xfId="0">
      <alignment horizontal="right"/>
    </xf>
    <xf numFmtId="0" fontId="3" fillId="2" borderId="1" applyAlignment="1" pivotButton="0" quotePrefix="0" xfId="0">
      <alignment horizontal="left" vertical="center" indent="1"/>
    </xf>
    <xf numFmtId="0" fontId="0" fillId="2" borderId="1" pivotButton="0" quotePrefix="0" xfId="0"/>
    <xf numFmtId="165" fontId="11" fillId="2" borderId="1" applyAlignment="1" pivotButton="0" quotePrefix="0" xfId="0">
      <alignment horizontal="right"/>
    </xf>
    <xf numFmtId="0" fontId="10" fillId="0" borderId="1" applyAlignment="1" pivotButton="0" quotePrefix="0" xfId="0">
      <alignment horizontal="left" vertical="center"/>
    </xf>
    <xf numFmtId="0" fontId="12" fillId="3" borderId="1" applyAlignment="1" pivotButton="0" quotePrefix="0" xfId="0">
      <alignment horizontal="center" vertical="center"/>
    </xf>
    <xf numFmtId="0" fontId="13" fillId="0" borderId="1" applyAlignment="1" pivotButton="0" quotePrefix="0" xfId="0">
      <alignment horizontal="left" vertical="center" wrapText="1"/>
    </xf>
    <xf numFmtId="0" fontId="0" fillId="0" borderId="1" pivotButton="0" quotePrefix="0" xfId="0"/>
    <xf numFmtId="0" fontId="14" fillId="7" borderId="1" applyAlignment="1" pivotButton="0" quotePrefix="0" xfId="0">
      <alignment horizontal="center" vertical="center"/>
    </xf>
    <xf numFmtId="0" fontId="15" fillId="8" borderId="1" applyAlignment="1" pivotButton="0" quotePrefix="0" xfId="0">
      <alignment horizontal="left" vertical="center" wrapText="1"/>
    </xf>
    <xf numFmtId="0" fontId="0" fillId="8" borderId="1" pivotButton="0" quotePrefix="0" xfId="0"/>
    <xf numFmtId="0" fontId="0" fillId="0" borderId="4" pivotButton="0" quotePrefix="0" xfId="0"/>
    <xf numFmtId="0" fontId="0" fillId="0" borderId="5" pivotButton="0" quotePrefix="0" xfId="0"/>
    <xf numFmtId="0" fontId="16" fillId="0" borderId="0" applyAlignment="1" pivotButton="0" quotePrefix="0" xfId="0">
      <alignment horizontal="left" vertical="center"/>
    </xf>
    <xf numFmtId="0" fontId="2" fillId="0" borderId="0" applyAlignment="1" pivotButton="0" quotePrefix="0" xfId="0">
      <alignment horizontal="left" wrapText="1"/>
    </xf>
    <xf numFmtId="0" fontId="10" fillId="0" borderId="1" applyAlignment="1" pivotButton="0" quotePrefix="0" xfId="0">
      <alignment horizontal="left" vertical="center"/>
    </xf>
    <xf numFmtId="164" fontId="17" fillId="9" borderId="1" applyAlignment="1" pivotButton="0" quotePrefix="0" xfId="0">
      <alignment horizontal="center" vertical="center"/>
    </xf>
    <xf numFmtId="164" fontId="18" fillId="10" borderId="1" applyAlignment="1" pivotButton="0" quotePrefix="0" xfId="0">
      <alignment horizontal="center" vertical="center"/>
    </xf>
    <xf numFmtId="164" fontId="19" fillId="10" borderId="1" applyAlignment="1" pivotButton="0" quotePrefix="0" xfId="0">
      <alignment horizontal="center" vertical="center"/>
    </xf>
    <xf numFmtId="9" fontId="19" fillId="10" borderId="1" applyAlignment="1" pivotButton="0" quotePrefix="0" xfId="0">
      <alignment horizontal="center" vertical="center"/>
    </xf>
    <xf numFmtId="165" fontId="19" fillId="10" borderId="1" applyAlignment="1" pivotButton="0" quotePrefix="0" xfId="0">
      <alignment horizontal="right" vertical="center"/>
    </xf>
    <xf numFmtId="165" fontId="20" fillId="11" borderId="1" applyAlignment="1" pivotButton="0" quotePrefix="0" xfId="0">
      <alignment horizontal="right" vertical="center"/>
    </xf>
    <xf numFmtId="0" fontId="21" fillId="0" borderId="1" applyAlignment="1" pivotButton="0" quotePrefix="0" xfId="0">
      <alignment horizontal="left" vertical="center" wrapText="1"/>
    </xf>
    <xf numFmtId="165" fontId="22" fillId="2" borderId="1" applyAlignment="1" pivotButton="0" quotePrefix="0" xfId="0">
      <alignment horizontal="right" vertical="center"/>
    </xf>
    <xf numFmtId="0" fontId="3" fillId="4" borderId="1" applyAlignment="1" pivotButton="0" quotePrefix="0" xfId="0">
      <alignment horizontal="left" vertical="center" indent="1"/>
    </xf>
    <xf numFmtId="0" fontId="12" fillId="3" borderId="1" applyAlignment="1" pivotButton="0" quotePrefix="0" xfId="0">
      <alignment horizontal="center" vertical="center" wrapText="1"/>
    </xf>
    <xf numFmtId="165" fontId="23" fillId="10" borderId="1" applyAlignment="1" pivotButton="0" quotePrefix="0" xfId="0">
      <alignment horizontal="center" vertical="center"/>
    </xf>
    <xf numFmtId="0" fontId="2" fillId="10" borderId="1" applyAlignment="1" pivotButton="0" quotePrefix="0" xfId="0">
      <alignment horizontal="center" vertical="center"/>
    </xf>
    <xf numFmtId="0" fontId="24" fillId="12" borderId="1" applyAlignment="1" pivotButton="0" quotePrefix="0" xfId="0">
      <alignment horizontal="left" vertical="center" wrapText="1"/>
    </xf>
    <xf numFmtId="0" fontId="25" fillId="0" borderId="1" applyAlignment="1" pivotButton="0" quotePrefix="0" xfId="0">
      <alignment horizontal="left" vertical="center" wrapText="1"/>
    </xf>
    <xf numFmtId="0" fontId="26" fillId="0" borderId="1" applyAlignment="1" pivotButton="0" quotePrefix="0" xfId="0">
      <alignment horizontal="left" vertical="center" wrapText="1"/>
    </xf>
    <xf numFmtId="0" fontId="10" fillId="0" borderId="1" applyAlignment="1" pivotButton="0" quotePrefix="0" xfId="0">
      <alignment horizontal="left" vertical="center"/>
    </xf>
    <xf numFmtId="164" fontId="27" fillId="9" borderId="1" applyAlignment="1" pivotButton="0" quotePrefix="0" xfId="0">
      <alignment horizontal="center" vertical="center"/>
    </xf>
    <xf numFmtId="164" fontId="19" fillId="10" borderId="1" applyAlignment="1" pivotButton="0" quotePrefix="0" xfId="0">
      <alignment horizontal="center" vertical="center"/>
    </xf>
    <xf numFmtId="164" fontId="28" fillId="10" borderId="1" applyAlignment="1" pivotButton="0" quotePrefix="0" xfId="0">
      <alignment horizontal="center" vertical="center"/>
    </xf>
    <xf numFmtId="9" fontId="20" fillId="11" borderId="1" applyAlignment="1" pivotButton="0" quotePrefix="0" xfId="0">
      <alignment horizontal="center" vertical="center"/>
    </xf>
    <xf numFmtId="0" fontId="12" fillId="13" borderId="1" applyAlignment="1" pivotButton="0" quotePrefix="0" xfId="0">
      <alignment horizontal="left" vertical="center"/>
    </xf>
    <xf numFmtId="0" fontId="24" fillId="0" borderId="1" applyAlignment="1" pivotButton="0" quotePrefix="0" xfId="0">
      <alignment horizontal="left" vertical="center"/>
    </xf>
    <xf numFmtId="0" fontId="7" fillId="0" borderId="1" applyAlignment="1" pivotButton="0" quotePrefix="0" xfId="0">
      <alignment horizontal="center" vertical="center"/>
    </xf>
    <xf numFmtId="0" fontId="15" fillId="0" borderId="1" applyAlignment="1" pivotButton="0" quotePrefix="0" xfId="0">
      <alignment horizontal="left" vertical="center" wrapText="1"/>
    </xf>
    <xf numFmtId="0" fontId="29" fillId="4" borderId="1" applyAlignment="1" pivotButton="0" quotePrefix="0" xfId="0">
      <alignment horizontal="center" vertical="center"/>
    </xf>
    <xf numFmtId="0" fontId="10" fillId="0" borderId="1" applyAlignment="1" pivotButton="0" quotePrefix="0" xfId="0">
      <alignment horizontal="left" vertical="center"/>
    </xf>
    <xf numFmtId="0" fontId="30" fillId="12" borderId="1" applyAlignment="1" pivotButton="0" quotePrefix="0" xfId="0">
      <alignment horizontal="center" vertical="center" wrapText="1"/>
    </xf>
    <xf numFmtId="0" fontId="31" fillId="14" borderId="1" applyAlignment="1" pivotButton="0" quotePrefix="0" xfId="0">
      <alignment horizontal="left" vertical="center" wrapText="1"/>
    </xf>
    <xf numFmtId="0" fontId="32" fillId="0" borderId="1" applyAlignment="1" pivotButton="0" quotePrefix="0" xfId="0">
      <alignment horizontal="left" vertical="center" wrapText="1"/>
    </xf>
    <xf numFmtId="0" fontId="33" fillId="15" borderId="1" applyAlignment="1" pivotButton="0" quotePrefix="0" xfId="0">
      <alignment horizontal="left" vertical="center" wrapText="1"/>
    </xf>
    <xf numFmtId="0" fontId="3" fillId="2" borderId="1"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34" customWidth="1" min="1" max="1"/>
    <col width="18" customWidth="1" min="2" max="2"/>
    <col width="14" customWidth="1" min="3" max="3"/>
    <col width="50" customWidth="1" min="4" max="4"/>
  </cols>
  <sheetData>
    <row r="1" ht="28" customHeight="1">
      <c r="A1" s="1" t="inlineStr">
        <is>
          <t>SSV Admin Cost Model — Assumptions</t>
        </is>
      </c>
    </row>
    <row r="2">
      <c r="A2" s="2" t="inlineStr">
        <is>
          <t>Blue = hardcoded input  |  Formulas reference these cells.  All inputs marked ✓ Sourced or ~ Estimated.</t>
        </is>
      </c>
    </row>
    <row r="3" ht="18" customHeight="1">
      <c r="A3" s="3" t="inlineStr">
        <is>
          <t>DET Casual Relief Teacher (CRT) Rates</t>
        </is>
      </c>
    </row>
    <row r="4" ht="22" customHeight="1">
      <c r="A4" s="4" t="inlineStr">
        <is>
          <t>CRT daily rate ($)</t>
        </is>
      </c>
      <c r="B4" s="5" t="n">
        <v>425.8</v>
      </c>
      <c r="C4" s="6" t="inlineStr">
        <is>
          <t>✓ Sourced</t>
        </is>
      </c>
      <c r="D4" s="7" t="inlineStr">
        <is>
          <t>DET Victoria rate effective July 2025 — Kirsteen Farrance email 05/11/2021 + DET website</t>
        </is>
      </c>
    </row>
    <row r="5" ht="22" customHeight="1">
      <c r="A5" s="4" t="inlineStr">
        <is>
          <t>CRT hourly rate ($)</t>
        </is>
      </c>
      <c r="B5" s="5" t="n">
        <v>70.97</v>
      </c>
      <c r="C5" s="6" t="inlineStr">
        <is>
          <t>✓ Sourced</t>
        </is>
      </c>
      <c r="D5" s="7" t="inlineStr">
        <is>
          <t>Daily rate ÷ 6 hrs teaching = $70.97; full day = 7.5 hrs contracted</t>
        </is>
      </c>
    </row>
    <row r="6" ht="22" customHeight="1">
      <c r="A6" s="4" t="inlineStr">
        <is>
          <t>Working hrs per day</t>
        </is>
      </c>
      <c r="B6" s="5" t="n">
        <v>7.5</v>
      </c>
      <c r="C6" s="6" t="inlineStr">
        <is>
          <t>✓ Sourced</t>
        </is>
      </c>
      <c r="D6" s="7" t="inlineStr">
        <is>
          <t>Standard DET contracted day</t>
        </is>
      </c>
    </row>
    <row r="7" ht="18" customHeight="1">
      <c r="A7" s="3" t="inlineStr">
        <is>
          <t>SSV System Scale (Victoria)</t>
        </is>
      </c>
    </row>
    <row r="8" ht="22" customHeight="1">
      <c r="A8" s="4" t="inlineStr">
        <is>
          <t>Primary Districts (VIC)</t>
        </is>
      </c>
      <c r="B8" s="5" t="n">
        <v>232</v>
      </c>
      <c r="C8" s="6" t="inlineStr">
        <is>
          <t>✓ Sourced</t>
        </is>
      </c>
      <c r="D8" s="7" t="inlineStr">
        <is>
          <t>SSV Primary Schools Resource Manual Feb 2026, p.5 — exact figure</t>
        </is>
      </c>
    </row>
    <row r="9" ht="22" customHeight="1">
      <c r="A9" s="4" t="inlineStr">
        <is>
          <t>Primary Divisions (VIC)</t>
        </is>
      </c>
      <c r="B9" s="5" t="n">
        <v>55</v>
      </c>
      <c r="C9" s="6" t="inlineStr">
        <is>
          <t>✓ Sourced</t>
        </is>
      </c>
      <c r="D9" s="7" t="inlineStr">
        <is>
          <t>SSV 2026-27 Primary Division Coordinator PD — '55 × Primary Division Coordinator positions'</t>
        </is>
      </c>
    </row>
    <row r="10" ht="22" customHeight="1">
      <c r="A10" s="4" t="inlineStr">
        <is>
          <t>SSV Sporting Regions</t>
        </is>
      </c>
      <c r="B10" s="5" t="n">
        <v>8</v>
      </c>
      <c r="C10" s="6" t="inlineStr">
        <is>
          <t>✓ Sourced</t>
        </is>
      </c>
      <c r="D10" s="7" t="inlineStr">
        <is>
          <t>SSV 2026-27 PD lists 8 regions: EMR, Gippsland, GWR, Hume, LME, NMR, SMR, WMR</t>
        </is>
      </c>
    </row>
    <row r="11" ht="22" customHeight="1">
      <c r="A11" s="4" t="inlineStr">
        <is>
          <t>Primary Region Coordinators</t>
        </is>
      </c>
      <c r="B11" s="5" t="n">
        <v>16</v>
      </c>
      <c r="C11" s="8" t="inlineStr">
        <is>
          <t>~ Estimated</t>
        </is>
      </c>
      <c r="D11" s="7" t="inlineStr">
        <is>
          <t>2 per region (Individual/Summer + Winter Sports) × 8 regions</t>
        </is>
      </c>
    </row>
    <row r="12" ht="22" customHeight="1">
      <c r="A12" s="4" t="inlineStr">
        <is>
          <t>Schools in VIC</t>
        </is>
      </c>
      <c r="B12" s="5" t="n">
        <v>1600</v>
      </c>
      <c r="C12" s="8" t="inlineStr">
        <is>
          <t>~ Estimated</t>
        </is>
      </c>
      <c r="D12" s="7" t="inlineStr">
        <is>
          <t>DET 2024 — ~1,600 government primary schools</t>
        </is>
      </c>
    </row>
    <row r="13" ht="22" customHeight="1">
      <c r="A13" s="4" t="inlineStr">
        <is>
          <t>Carnivals per year (PE teacher)</t>
        </is>
      </c>
      <c r="B13" s="5" t="n">
        <v>3</v>
      </c>
      <c r="C13" s="6" t="inlineStr">
        <is>
          <t>✓ Sourced</t>
        </is>
      </c>
      <c r="D13" s="7" t="inlineStr">
        <is>
          <t>Athletics + Swimming + Cross Country per district cycle</t>
        </is>
      </c>
    </row>
    <row r="14" ht="18" customHeight="1">
      <c r="A14" s="3" t="inlineStr">
        <is>
          <t>Coordinator Remuneration — SSV Official Position Descriptions (2026-27)</t>
        </is>
      </c>
    </row>
    <row r="15" ht="22" customHeight="1">
      <c r="A15" s="4" t="inlineStr">
        <is>
          <t>District coordinator pay ($/yr)</t>
        </is>
      </c>
      <c r="B15" s="5" t="n">
        <v>4200</v>
      </c>
      <c r="C15" s="6" t="inlineStr">
        <is>
          <t>✓ Sourced</t>
        </is>
      </c>
      <c r="D15" s="7" t="inlineStr">
        <is>
          <t>Local / variable — funded by school membership levies. Wyndham Vale District = $4,200/yr (2024, confirmed email from Sharon Veale, Business Manager). SSV 'Models of Remuneration' guide: Model A = nil, Model E = major. NOT paid by SSV.</t>
        </is>
      </c>
    </row>
    <row r="16" ht="22" customHeight="1">
      <c r="A16" s="4" t="inlineStr">
        <is>
          <t>Division coordinator pay ($/yr)</t>
        </is>
      </c>
      <c r="B16" s="5" t="n">
        <v>4500</v>
      </c>
      <c r="C16" s="6" t="inlineStr">
        <is>
          <t>✓ Sourced</t>
        </is>
      </c>
      <c r="D16" s="7" t="inlineStr">
        <is>
          <t>SSV pays via eduPay up to $4,500. Confirmed: 2026-27 Primary Division Coordinator PD (ssv.vic.edu.au). Also confirmed: Kirsteen Farrance email 23/09/2021 ('up to $4,500 via eduPay'). Paddy received $4,200 in 2024 (Sharon Veale email 18/07/2024).</t>
        </is>
      </c>
    </row>
    <row r="17" ht="22" customHeight="1">
      <c r="A17" s="4" t="inlineStr">
        <is>
          <t>Region coord. pay — direct ($)</t>
        </is>
      </c>
      <c r="B17" s="5" t="n">
        <v>7500</v>
      </c>
      <c r="C17" s="6" t="inlineStr">
        <is>
          <t>✓ Sourced</t>
        </is>
      </c>
      <c r="D17" s="7" t="inlineStr">
        <is>
          <t>SSV pays via eduPay up to $7,500. Confirmed: 2026-27 Primary Region Coordinator Individual/Summer Sports PD (ssv.vic.edu.au).</t>
        </is>
      </c>
    </row>
    <row r="18" ht="22" customHeight="1">
      <c r="A18" s="4" t="inlineStr">
        <is>
          <t>Region coord. CRT coverage ($/yr)</t>
        </is>
      </c>
      <c r="B18" s="5" t="n">
        <v>6000</v>
      </c>
      <c r="C18" s="6" t="inlineStr">
        <is>
          <t>✓ Sourced</t>
        </is>
      </c>
      <c r="D18" s="7" t="inlineStr">
        <is>
          <t>ADDITIONAL: Each school with a Region Coordinator receives up to $6,000/yr for CRT coverage. Confirmed: 2026-27 Primary Region Coordinator PD (ssv.vic.edu.au).</t>
        </is>
      </c>
    </row>
    <row r="19" ht="22" customHeight="1">
      <c r="A19" s="4" t="inlineStr">
        <is>
          <t>Region coordinator total value</t>
        </is>
      </c>
      <c r="B19" s="5" t="n">
        <v>13500</v>
      </c>
      <c r="C19" s="6" t="inlineStr">
        <is>
          <t>✓ Sourced</t>
        </is>
      </c>
      <c r="D19" s="7">
        <f> $7,500 direct pay + $6,000 CRT coverage (both from SSV)</f>
        <v/>
      </c>
    </row>
    <row r="20" ht="18" customHeight="1">
      <c r="A20" s="3" t="inlineStr">
        <is>
          <t>Estimated Hours per Role per Year (Admin burden from manual processes)</t>
        </is>
      </c>
    </row>
    <row r="21" ht="22" customHeight="1">
      <c r="A21" s="4" t="inlineStr">
        <is>
          <t>PE teacher hrs/yr (admin)</t>
        </is>
      </c>
      <c r="B21" s="5" t="n">
        <v>12</v>
      </c>
      <c r="C21" s="8" t="inlineStr">
        <is>
          <t>~ Estimated</t>
        </is>
      </c>
      <c r="D21" s="7" t="inlineStr">
        <is>
          <t>Entering results, communicating entries, chasing eligibility. 3 carnivals × ~4 hrs. Conservative.</t>
        </is>
      </c>
    </row>
    <row r="22" ht="22" customHeight="1">
      <c r="A22" s="4" t="inlineStr">
        <is>
          <t>District coord. hrs/yr</t>
        </is>
      </c>
      <c r="B22" s="5" t="n">
        <v>28</v>
      </c>
      <c r="C22" s="8" t="inlineStr">
        <is>
          <t>~ Estimated</t>
        </is>
      </c>
      <c r="D22" s="7" t="inlineStr">
        <is>
          <t>Planning carnival, collecting entries, sending draw, fielding Q&amp;A, re-checking results. ~9 hrs per carnival.</t>
        </is>
      </c>
    </row>
    <row r="23" ht="22" customHeight="1">
      <c r="A23" s="4" t="inlineStr">
        <is>
          <t>Division coord. hrs/yr</t>
        </is>
      </c>
      <c r="B23" s="5" t="n">
        <v>36</v>
      </c>
      <c r="C23" s="8" t="inlineStr">
        <is>
          <t>~ Estimated</t>
        </is>
      </c>
      <c r="D23" s="7" t="inlineStr">
        <is>
          <t>Cross-district coordination, eligibility disputes, Meet Manager re-entry, 4→2 event cliff emails.</t>
        </is>
      </c>
    </row>
    <row r="24" ht="22" customHeight="1">
      <c r="A24" s="4" t="inlineStr">
        <is>
          <t>Region coord. hrs/yr</t>
        </is>
      </c>
      <c r="B24" s="5" t="n">
        <v>48</v>
      </c>
      <c r="C24" s="8" t="inlineStr">
        <is>
          <t>~ Estimated</t>
        </is>
      </c>
      <c r="D24" s="7" t="inlineStr">
        <is>
          <t>Division rollup, state nominations, athlete eligibility across multiple divisions.</t>
        </is>
      </c>
    </row>
    <row r="25" ht="8" customHeight="1"/>
  </sheetData>
  <mergeCells count="6">
    <mergeCell ref="A1:D1"/>
    <mergeCell ref="A3:D3"/>
    <mergeCell ref="A20:D20"/>
    <mergeCell ref="A7:D7"/>
    <mergeCell ref="A2:D2"/>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3"/>
  <sheetViews>
    <sheetView showGridLines="0" workbookViewId="0">
      <selection activeCell="A1" sqref="A1"/>
    </sheetView>
  </sheetViews>
  <sheetFormatPr baseColWidth="8" defaultRowHeight="15"/>
  <cols>
    <col width="6" customWidth="1" min="1" max="1"/>
    <col width="38" customWidth="1" min="2" max="2"/>
    <col width="10" customWidth="1" min="3" max="3"/>
    <col width="38" customWidth="1" min="4" max="4"/>
    <col width="18" customWidth="1" min="5" max="5"/>
  </cols>
  <sheetData>
    <row r="1" ht="28" customHeight="1">
      <c r="A1" s="1" t="inlineStr">
        <is>
          <t>Admin Task Breakdown by Role — Sources &amp; Confidence</t>
        </is>
      </c>
    </row>
    <row r="2" ht="18" customHeight="1">
      <c r="A2" s="9" t="inlineStr">
        <is>
          <t>#</t>
        </is>
      </c>
      <c r="B2" s="9" t="inlineStr">
        <is>
          <t>Task</t>
        </is>
      </c>
      <c r="C2" s="9" t="inlineStr">
        <is>
          <t>Est. Hrs</t>
        </is>
      </c>
      <c r="D2" s="9" t="inlineStr">
        <is>
          <t>Evidence / Source</t>
        </is>
      </c>
      <c r="E2" s="9" t="inlineStr">
        <is>
          <t>Confidence</t>
        </is>
      </c>
    </row>
    <row r="3" ht="18" customHeight="1">
      <c r="A3" s="10" t="inlineStr">
        <is>
          <t>🏫  PE Teacher (per school, per year)</t>
        </is>
      </c>
    </row>
    <row r="4" ht="30" customHeight="1">
      <c r="A4" s="11" t="n">
        <v>1</v>
      </c>
      <c r="B4" s="12" t="inlineStr">
        <is>
          <t>Enter student details into school spreadsheet template</t>
        </is>
      </c>
      <c r="C4" s="5" t="n">
        <v>0.5</v>
      </c>
      <c r="D4" s="7" t="inlineStr">
        <is>
          <t>Swim/Athletics entry templates emailed from District each term</t>
        </is>
      </c>
      <c r="E4" s="13" t="inlineStr">
        <is>
          <t>✓ Sourced — seen in email evidence</t>
        </is>
      </c>
    </row>
    <row r="5" ht="30" customHeight="1">
      <c r="A5" s="11" t="n">
        <v>2</v>
      </c>
      <c r="B5" s="12" t="inlineStr">
        <is>
          <t>Collect signed permission/consent forms from parents</t>
        </is>
      </c>
      <c r="C5" s="5" t="n">
        <v>0.5</v>
      </c>
      <c r="D5" s="7" t="inlineStr">
        <is>
          <t>David Nahm email: transport consent for cross-country — separate form per student per carnival</t>
        </is>
      </c>
      <c r="E5" s="13" t="inlineStr">
        <is>
          <t>✓ Sourced — email evidence</t>
        </is>
      </c>
    </row>
    <row r="6" ht="30" customHeight="1">
      <c r="A6" s="11" t="n">
        <v>3</v>
      </c>
      <c r="B6" s="12" t="inlineStr">
        <is>
          <t>Check student eligibility (age groups, event limits)</t>
        </is>
      </c>
      <c r="C6" s="5" t="n">
        <v>0.75</v>
      </c>
      <c r="D6" s="7" t="inlineStr">
        <is>
          <t>SSV Manual p.7: 4-event limit at District, 2-event limit at Division creates manual check requirement</t>
        </is>
      </c>
      <c r="E6" s="13" t="inlineStr">
        <is>
          <t>✓ Sourced — SSV Manual</t>
        </is>
      </c>
    </row>
    <row r="7" ht="30" customHeight="1">
      <c r="A7" s="11" t="n">
        <v>4</v>
      </c>
      <c r="B7" s="12" t="inlineStr">
        <is>
          <t>Format and submit entries to District Coordinator</t>
        </is>
      </c>
      <c r="C7" s="5" t="n">
        <v>0.5</v>
      </c>
      <c r="D7" s="7" t="inlineStr">
        <is>
          <t>Required in specific format per District (varies by district)</t>
        </is>
      </c>
      <c r="E7" s="13" t="inlineStr">
        <is>
          <t>✓ Sourced — email evidence</t>
        </is>
      </c>
    </row>
    <row r="8" ht="30" customHeight="1">
      <c r="A8" s="11" t="n">
        <v>5</v>
      </c>
      <c r="B8" s="12" t="inlineStr">
        <is>
          <t>Communicate carnival details to parents/carers</t>
        </is>
      </c>
      <c r="C8" s="5" t="n">
        <v>0.5</v>
      </c>
      <c r="D8" s="7" t="inlineStr">
        <is>
          <t>Nikki Little email: parent complaint re communication — schools responsible for informing parents</t>
        </is>
      </c>
      <c r="E8" s="13" t="inlineStr">
        <is>
          <t>✓ Sourced — email evidence</t>
        </is>
      </c>
    </row>
    <row r="9" ht="30" customHeight="1">
      <c r="A9" s="11" t="n">
        <v>6</v>
      </c>
      <c r="B9" s="12" t="inlineStr">
        <is>
          <t>Manage 4→2 event negotiation with qualifiers</t>
        </is>
      </c>
      <c r="C9" s="5" t="n">
        <v>1</v>
      </c>
      <c r="D9" s="7" t="inlineStr">
        <is>
          <t>At District level students can do 4 events; Division only 2. Each qualifier needing reduction requires parent/student negotiation + District email chain.</t>
        </is>
      </c>
      <c r="E9" s="13" t="inlineStr">
        <is>
          <t>✓ Sourced — Paddy confirmed + email evidence</t>
        </is>
      </c>
    </row>
    <row r="10" ht="30" customHeight="1">
      <c r="A10" s="11" t="n">
        <v>7</v>
      </c>
      <c r="B10" s="12" t="inlineStr">
        <is>
          <t>Attend carnival on the day (supervision/admin)</t>
        </is>
      </c>
      <c r="C10" s="5" t="n">
        <v>1</v>
      </c>
      <c r="D10" s="7" t="inlineStr">
        <is>
          <t>PE teacher accompanies students; handles on-day queries from coordinator</t>
        </is>
      </c>
      <c r="E10" s="13" t="inlineStr">
        <is>
          <t>✓ Sourced — standard duty</t>
        </is>
      </c>
    </row>
    <row r="11" ht="30" customHeight="1">
      <c r="A11" s="11" t="n">
        <v>8</v>
      </c>
      <c r="B11" s="12" t="inlineStr">
        <is>
          <t>Re-check results after carnival, respond to queries</t>
        </is>
      </c>
      <c r="C11" s="5" t="n">
        <v>0.5</v>
      </c>
      <c r="D11" s="7" t="inlineStr">
        <is>
          <t>Mel Camilleri email: results re-check requests after carnival; Jason Maxwell email: staffing queries</t>
        </is>
      </c>
      <c r="E11" s="13" t="inlineStr">
        <is>
          <t>✓ Sourced — email evidence</t>
        </is>
      </c>
    </row>
    <row r="12" ht="30" customHeight="1">
      <c r="A12" s="11" t="n">
        <v>9</v>
      </c>
      <c r="B12" s="12" t="inlineStr">
        <is>
          <t>Collect and return equipment; submit expense claims</t>
        </is>
      </c>
      <c r="C12" s="5" t="n">
        <v>0.5</v>
      </c>
      <c r="D12" s="7" t="inlineStr">
        <is>
          <t>Standard post-carnival admin for school</t>
        </is>
      </c>
      <c r="E12" s="13" t="inlineStr">
        <is>
          <t>~ Estimated</t>
        </is>
      </c>
    </row>
    <row r="13" ht="30" customHeight="1">
      <c r="A13" s="11" t="n">
        <v>10</v>
      </c>
      <c r="B13" s="12" t="inlineStr">
        <is>
          <t>Organise transport (buses, permission, payments)</t>
        </is>
      </c>
      <c r="C13" s="5" t="n">
        <v>0.5</v>
      </c>
      <c r="D13" s="7" t="inlineStr">
        <is>
          <t>David Nahm email: separate transport consent form per student</t>
        </is>
      </c>
      <c r="E13" s="13" t="inlineStr">
        <is>
          <t>✓ Sourced — email evidence</t>
        </is>
      </c>
    </row>
    <row r="14" ht="30" customHeight="1">
      <c r="A14" s="11" t="n">
        <v>11</v>
      </c>
      <c r="B14" s="12" t="inlineStr">
        <is>
          <t>Archive records for DEECD compliance</t>
        </is>
      </c>
      <c r="C14" s="5" t="n">
        <v>0.25</v>
      </c>
      <c r="D14" s="7" t="inlineStr">
        <is>
          <t>Required record-keeping for duty of care</t>
        </is>
      </c>
      <c r="E14" s="13" t="inlineStr">
        <is>
          <t>~ Estimated</t>
        </is>
      </c>
    </row>
    <row r="15" ht="30" customHeight="1">
      <c r="A15" s="11" t="n">
        <v>12</v>
      </c>
      <c r="B15" s="12" t="inlineStr">
        <is>
          <t>Handle ad-hoc parent and student queries</t>
        </is>
      </c>
      <c r="C15" s="5" t="n">
        <v>0.5</v>
      </c>
      <c r="D15" s="7" t="inlineStr">
        <is>
          <t>Nikki Little email: parent escalation; typical PE teacher experience</t>
        </is>
      </c>
      <c r="E15" s="13" t="inlineStr">
        <is>
          <t>✓ Sourced — email evidence</t>
        </is>
      </c>
    </row>
    <row r="17" ht="18" customHeight="1">
      <c r="A17" s="10" t="inlineStr">
        <is>
          <t>🏆  District Coordinator (per district, per year)</t>
        </is>
      </c>
    </row>
    <row r="18" ht="30" customHeight="1">
      <c r="A18" s="11" t="n">
        <v>1</v>
      </c>
      <c r="B18" s="12" t="inlineStr">
        <is>
          <t>Design and distribute entry spreadsheet template to schools</t>
        </is>
      </c>
      <c r="C18" s="5" t="n">
        <v>1</v>
      </c>
      <c r="D18" s="7" t="inlineStr">
        <is>
          <t>Templates seen in Paddy's inbox — custom per district, different format each year</t>
        </is>
      </c>
      <c r="E18" s="13" t="inlineStr">
        <is>
          <t>✓ Sourced — email evidence</t>
        </is>
      </c>
    </row>
    <row r="19" ht="30" customHeight="1">
      <c r="A19" s="11" t="n">
        <v>2</v>
      </c>
      <c r="B19" s="12" t="inlineStr">
        <is>
          <t>Collect and consolidate entries from 6-15 schools</t>
        </is>
      </c>
      <c r="C19" s="5" t="n">
        <v>2</v>
      </c>
      <c r="D19" s="7" t="inlineStr">
        <is>
          <t>Williamstown District: 8 schools. Manual copy-paste from individual school submissions.</t>
        </is>
      </c>
      <c r="E19" s="13" t="inlineStr">
        <is>
          <t>✓ Sourced — Drive spreadsheet</t>
        </is>
      </c>
    </row>
    <row r="20" ht="30" customHeight="1">
      <c r="A20" s="11" t="n">
        <v>3</v>
      </c>
      <c r="B20" s="12" t="inlineStr">
        <is>
          <t>Check entries for eligibility errors (age, events, schools)</t>
        </is>
      </c>
      <c r="C20" s="5" t="n">
        <v>1.5</v>
      </c>
      <c r="D20" s="7" t="inlineStr">
        <is>
          <t>Ethan Easow email: wrong school listed; common error requiring manual correction</t>
        </is>
      </c>
      <c r="E20" s="13" t="inlineStr">
        <is>
          <t>✓ Sourced — email evidence</t>
        </is>
      </c>
    </row>
    <row r="21" ht="30" customHeight="1">
      <c r="A21" s="11" t="n">
        <v>4</v>
      </c>
      <c r="B21" s="12" t="inlineStr">
        <is>
          <t>Chase missing/late school entries (emails, calls)</t>
        </is>
      </c>
      <c r="C21" s="5" t="n">
        <v>1</v>
      </c>
      <c r="D21" s="7" t="inlineStr">
        <is>
          <t>Truganina South PS email: school missing from swim draw — follow-up required</t>
        </is>
      </c>
      <c r="E21" s="13" t="inlineStr">
        <is>
          <t>✓ Sourced — email evidence</t>
        </is>
      </c>
    </row>
    <row r="22" ht="30" customHeight="1">
      <c r="A22" s="11" t="n">
        <v>5</v>
      </c>
      <c r="B22" s="12" t="inlineStr">
        <is>
          <t>Create carnival heat draws and event programmes</t>
        </is>
      </c>
      <c r="C22" s="5" t="n">
        <v>2</v>
      </c>
      <c r="D22" s="7" t="inlineStr">
        <is>
          <t>For athletics: manual measurement/cone placement. For swimming: heat sheets per event. Major time sink.</t>
        </is>
      </c>
      <c r="E22" s="13" t="inlineStr">
        <is>
          <t>✓ Sourced — Paddy confirmed</t>
        </is>
      </c>
    </row>
    <row r="23" ht="30" customHeight="1">
      <c r="A23" s="11" t="n">
        <v>6</v>
      </c>
      <c r="B23" s="12" t="inlineStr">
        <is>
          <t>Book venue and organise logistics (equipment, officials)</t>
        </is>
      </c>
      <c r="C23" s="5" t="n">
        <v>1</v>
      </c>
      <c r="D23" s="7" t="inlineStr">
        <is>
          <t>District coordinator responsibility; requires early booking confirmation from schools</t>
        </is>
      </c>
      <c r="E23" s="13" t="inlineStr">
        <is>
          <t>✓ Sourced — standard duty</t>
        </is>
      </c>
    </row>
    <row r="24" ht="30" customHeight="1">
      <c r="A24" s="11" t="n">
        <v>7</v>
      </c>
      <c r="B24" s="12" t="inlineStr">
        <is>
          <t>Send carnival day programme to all schools</t>
        </is>
      </c>
      <c r="C24" s="5" t="n">
        <v>0.5</v>
      </c>
      <c r="D24" s="7" t="inlineStr">
        <is>
          <t>Sent via email to all schools before carnival day</t>
        </is>
      </c>
      <c r="E24" s="13" t="inlineStr">
        <is>
          <t>✓ Sourced — email evidence</t>
        </is>
      </c>
    </row>
    <row r="25" ht="30" customHeight="1">
      <c r="A25" s="11" t="n">
        <v>8</v>
      </c>
      <c r="B25" s="12" t="inlineStr">
        <is>
          <t>Manage on-day coordination (results, timing, disputes)</t>
        </is>
      </c>
      <c r="C25" s="5" t="n">
        <v>1.5</v>
      </c>
      <c r="D25" s="7" t="inlineStr">
        <is>
          <t>Lee Jarvis email: on-day Q&amp;A; Jason Maxwell: staffing arrangements</t>
        </is>
      </c>
      <c r="E25" s="13" t="inlineStr">
        <is>
          <t>✓ Sourced — email evidence</t>
        </is>
      </c>
    </row>
    <row r="26" ht="30" customHeight="1">
      <c r="A26" s="11" t="n">
        <v>9</v>
      </c>
      <c r="B26" s="12" t="inlineStr">
        <is>
          <t>Enter/transcribe results into spreadsheet post-carnival</t>
        </is>
      </c>
      <c r="C26" s="5" t="n">
        <v>1.5</v>
      </c>
      <c r="D26" s="7" t="inlineStr">
        <is>
          <t>Results not auto-captured — manually recorded on paper then re-entered</t>
        </is>
      </c>
      <c r="E26" s="13" t="inlineStr">
        <is>
          <t>✓ Sourced — Paddy confirmed</t>
        </is>
      </c>
    </row>
    <row r="27" ht="30" customHeight="1">
      <c r="A27" s="11" t="n">
        <v>10</v>
      </c>
      <c r="B27" s="12" t="inlineStr">
        <is>
          <t>Send results to all schools for checking</t>
        </is>
      </c>
      <c r="C27" s="5" t="n">
        <v>0.5</v>
      </c>
      <c r="D27" s="7" t="inlineStr">
        <is>
          <t>Division entries email: 'I may have made a mistake or two' — distributed for checking before forwarding</t>
        </is>
      </c>
      <c r="E27" s="13" t="inlineStr">
        <is>
          <t>✓ Sourced — email evidence</t>
        </is>
      </c>
    </row>
    <row r="28" ht="30" customHeight="1">
      <c r="A28" s="11" t="n">
        <v>11</v>
      </c>
      <c r="B28" s="12" t="inlineStr">
        <is>
          <t>Resolve results disputes and corrections</t>
        </is>
      </c>
      <c r="C28" s="5" t="n">
        <v>1</v>
      </c>
      <c r="D28" s="7" t="inlineStr">
        <is>
          <t>Typical: 2-4 correction emails per carnival. Sometimes requires re-measuring or timing review.</t>
        </is>
      </c>
      <c r="E28" s="13" t="inlineStr">
        <is>
          <t>✓ Sourced — email evidence</t>
        </is>
      </c>
    </row>
    <row r="29" ht="30" customHeight="1">
      <c r="A29" s="11" t="n">
        <v>12</v>
      </c>
      <c r="B29" s="12" t="inlineStr">
        <is>
          <t>Identify qualifiers and enforce 4→2 rule for Division</t>
        </is>
      </c>
      <c r="C29" s="5" t="n">
        <v>1.5</v>
      </c>
      <c r="D29" s="7" t="inlineStr">
        <is>
          <t>Each student qualifying in 3-4 events must be reduced to 2 for Division. Manual email chain per student.</t>
        </is>
      </c>
      <c r="E29" s="13" t="inlineStr">
        <is>
          <t>✓ Sourced — Paddy confirmed + SSV Manual p.7</t>
        </is>
      </c>
    </row>
    <row r="30" ht="30" customHeight="1">
      <c r="A30" s="11" t="n">
        <v>13</v>
      </c>
      <c r="B30" s="12" t="inlineStr">
        <is>
          <t>Compile and submit Division entries (correct format)</t>
        </is>
      </c>
      <c r="C30" s="5" t="n">
        <v>1</v>
      </c>
      <c r="D30" s="7" t="inlineStr">
        <is>
          <t>Division entry format differs from District; requires re-formatting. Jamie Edwards email: format confirmation.</t>
        </is>
      </c>
      <c r="E30" s="13" t="inlineStr">
        <is>
          <t>✓ Sourced — email evidence</t>
        </is>
      </c>
    </row>
    <row r="31" ht="30" customHeight="1">
      <c r="A31" s="11" t="n">
        <v>14</v>
      </c>
      <c r="B31" s="12" t="inlineStr">
        <is>
          <t>Handle financial admin (levies, invoicing, reporting)</t>
        </is>
      </c>
      <c r="C31" s="5" t="n">
        <v>1</v>
      </c>
      <c r="D31" s="7" t="inlineStr">
        <is>
          <t>Sharon Veale (Business Manager) email: district operating funds; school levy collection each term</t>
        </is>
      </c>
      <c r="E31" s="13" t="inlineStr">
        <is>
          <t>✓ Sourced — email evidence</t>
        </is>
      </c>
    </row>
    <row r="32" ht="30" customHeight="1">
      <c r="A32" s="11" t="n">
        <v>15</v>
      </c>
      <c r="B32" s="12" t="inlineStr">
        <is>
          <t>Manage relay team selections and notify schools</t>
        </is>
      </c>
      <c r="C32" s="5" t="n">
        <v>0.5</v>
      </c>
      <c r="D32" s="7" t="inlineStr">
        <is>
          <t>Rule varies: some districts allow 1 relay team per school, some 2. Ad-hoc query source.</t>
        </is>
      </c>
      <c r="E32" s="13" t="inlineStr">
        <is>
          <t>✓ Sourced — Paddy confirmed</t>
        </is>
      </c>
    </row>
    <row r="34" ht="18" customHeight="1">
      <c r="A34" s="10" t="inlineStr">
        <is>
          <t>🥇  Division Coordinator (per division, per year — SSV paid)</t>
        </is>
      </c>
    </row>
    <row r="35" ht="30" customHeight="1">
      <c r="A35" s="11" t="n">
        <v>1</v>
      </c>
      <c r="B35" s="12" t="inlineStr">
        <is>
          <t>Coordinate appointment across 6-10 districts in division</t>
        </is>
      </c>
      <c r="C35" s="5" t="n">
        <v>0.5</v>
      </c>
      <c r="D35" s="7" t="inlineStr">
        <is>
          <t>SSV appoints via formal PD process; coordinator liaises with all district coords</t>
        </is>
      </c>
      <c r="E35" s="13" t="inlineStr">
        <is>
          <t>✓ Sourced — SSV PD</t>
        </is>
      </c>
    </row>
    <row r="36" ht="30" customHeight="1">
      <c r="A36" s="11" t="n">
        <v>2</v>
      </c>
      <c r="B36" s="12" t="inlineStr">
        <is>
          <t>Collect and consolidate district entries</t>
        </is>
      </c>
      <c r="C36" s="5" t="n">
        <v>2.5</v>
      </c>
      <c r="D36" s="7" t="inlineStr">
        <is>
          <t>Each district submits in slightly different format; Division coord manually standardises</t>
        </is>
      </c>
      <c r="E36" s="13" t="inlineStr">
        <is>
          <t>✓ Sourced — Division entries email</t>
        </is>
      </c>
    </row>
    <row r="37" ht="30" customHeight="1">
      <c r="A37" s="11" t="n">
        <v>3</v>
      </c>
      <c r="B37" s="12" t="inlineStr">
        <is>
          <t>Re-enter all data into Meet Manager (swimming/athletics)</t>
        </is>
      </c>
      <c r="C37" s="5" t="n">
        <v>3</v>
      </c>
      <c r="D37" s="7" t="inlineStr">
        <is>
          <t>Meet Manager is NOT connected to district spreadsheets. Full manual re-entry required. Mel Camilleri reinstall email + Sunday night crunch email.</t>
        </is>
      </c>
      <c r="E37" s="13" t="inlineStr">
        <is>
          <t>✓ Sourced — email evidence</t>
        </is>
      </c>
    </row>
    <row r="38" ht="30" customHeight="1">
      <c r="A38" s="11" t="n">
        <v>4</v>
      </c>
      <c r="B38" s="12" t="inlineStr">
        <is>
          <t>Check eligibility (age group compliance, 2-event cap)</t>
        </is>
      </c>
      <c r="C38" s="5" t="n">
        <v>2</v>
      </c>
      <c r="D38" s="7" t="inlineStr">
        <is>
          <t>4→2 event rule: qualifiers from Districts may have been entered in 4 events; Division coord must reduce to 2 and notify.</t>
        </is>
      </c>
      <c r="E38" s="13" t="inlineStr">
        <is>
          <t>✓ Sourced — Paddy confirmed + SSV Manual</t>
        </is>
      </c>
    </row>
    <row r="39" ht="30" customHeight="1">
      <c r="A39" s="11" t="n">
        <v>5</v>
      </c>
      <c r="B39" s="12" t="inlineStr">
        <is>
          <t>Chase missing/incorrect entries from districts</t>
        </is>
      </c>
      <c r="C39" s="5" t="n">
        <v>1.5</v>
      </c>
      <c r="D39" s="7" t="inlineStr">
        <is>
          <t>Truganina South PS missing from draw: common pattern of missing school requiring urgent fix</t>
        </is>
      </c>
      <c r="E39" s="13" t="inlineStr">
        <is>
          <t>✓ Sourced — email evidence</t>
        </is>
      </c>
    </row>
    <row r="40" ht="30" customHeight="1">
      <c r="A40" s="11" t="n">
        <v>6</v>
      </c>
      <c r="B40" s="12" t="inlineStr">
        <is>
          <t>Create and distribute heat draws from Meet Manager</t>
        </is>
      </c>
      <c r="C40" s="5" t="n">
        <v>2</v>
      </c>
      <c r="D40" s="7" t="inlineStr">
        <is>
          <t>Exported from Meet Manager after manual entry; distributed to all districts</t>
        </is>
      </c>
      <c r="E40" s="13" t="inlineStr">
        <is>
          <t>✓ Sourced — Mel Camilleri email</t>
        </is>
      </c>
    </row>
    <row r="41" ht="30" customHeight="1">
      <c r="A41" s="11" t="n">
        <v>7</v>
      </c>
      <c r="B41" s="12" t="inlineStr">
        <is>
          <t>Manage results on the day and in Meet Manager</t>
        </is>
      </c>
      <c r="C41" s="5" t="n">
        <v>2</v>
      </c>
      <c r="D41" s="7" t="inlineStr">
        <is>
          <t>Sunday night crunch email: results processing after late finish, into night</t>
        </is>
      </c>
      <c r="E41" s="13" t="inlineStr">
        <is>
          <t>✓ Sourced — email evidence</t>
        </is>
      </c>
    </row>
    <row r="42" ht="30" customHeight="1">
      <c r="A42" s="11" t="n">
        <v>8</v>
      </c>
      <c r="B42" s="12" t="inlineStr">
        <is>
          <t>Distribute results and handle corrections</t>
        </is>
      </c>
      <c r="C42" s="5" t="n">
        <v>1.5</v>
      </c>
      <c r="D42" s="7" t="inlineStr">
        <is>
          <t>Results sent to districts; correction requests come back within 48 hrs</t>
        </is>
      </c>
      <c r="E42" s="13" t="inlineStr">
        <is>
          <t>✓ Sourced — email evidence</t>
        </is>
      </c>
    </row>
    <row r="43" ht="30" customHeight="1">
      <c r="A43" s="11" t="n">
        <v>9</v>
      </c>
      <c r="B43" s="12" t="inlineStr">
        <is>
          <t>Enforce relay rules across districts (1 vs 2 teams)</t>
        </is>
      </c>
      <c r="C43" s="5" t="n">
        <v>0.5</v>
      </c>
      <c r="D43" s="7" t="inlineStr">
        <is>
          <t>Rule inconsistency across districts — Division coord must clarify and enforce</t>
        </is>
      </c>
      <c r="E43" s="13" t="inlineStr">
        <is>
          <t>✓ Sourced — Paddy confirmed</t>
        </is>
      </c>
    </row>
    <row r="44" ht="30" customHeight="1">
      <c r="A44" s="11" t="n">
        <v>10</v>
      </c>
      <c r="B44" s="12" t="inlineStr">
        <is>
          <t>Submit state nominations to Region</t>
        </is>
      </c>
      <c r="C44" s="5" t="n">
        <v>1</v>
      </c>
      <c r="D44" s="7" t="inlineStr">
        <is>
          <t>Regional entry format; results from Meet Manager need reformatting for SSV system</t>
        </is>
      </c>
      <c r="E44" s="13" t="inlineStr">
        <is>
          <t>✓ Sourced — SSV process</t>
        </is>
      </c>
    </row>
    <row r="45" ht="30" customHeight="1">
      <c r="A45" s="11" t="n">
        <v>11</v>
      </c>
      <c r="B45" s="12" t="inlineStr">
        <is>
          <t>Attend meetings with Region Coordinator and SSV</t>
        </is>
      </c>
      <c r="C45" s="5" t="n">
        <v>1.5</v>
      </c>
      <c r="D45" s="7" t="inlineStr">
        <is>
          <t>Lee Jarvis email: 'give me a call' — regular coordination calls required</t>
        </is>
      </c>
      <c r="E45" s="13" t="inlineStr">
        <is>
          <t>✓ Sourced — email evidence</t>
        </is>
      </c>
    </row>
    <row r="46" ht="30" customHeight="1">
      <c r="A46" s="11" t="n">
        <v>12</v>
      </c>
      <c r="B46" s="12" t="inlineStr">
        <is>
          <t>Handle parent/school escalations forwarded from districts</t>
        </is>
      </c>
      <c r="C46" s="5" t="n">
        <v>1</v>
      </c>
      <c r="D46" s="7" t="inlineStr">
        <is>
          <t>Nikki Little: parent complaint escalated from school → district → division</t>
        </is>
      </c>
      <c r="E46" s="13" t="inlineStr">
        <is>
          <t>✓ Sourced — email evidence</t>
        </is>
      </c>
    </row>
    <row r="47" ht="30" customHeight="1">
      <c r="A47" s="11" t="n">
        <v>13</v>
      </c>
      <c r="B47" s="12" t="inlineStr">
        <is>
          <t>Manage financial admin (invoicing SSV, school levies)</t>
        </is>
      </c>
      <c r="C47" s="5" t="n">
        <v>1</v>
      </c>
      <c r="D47" s="7" t="inlineStr">
        <is>
          <t>Sharon Veale Business Manager email: invoicing SSV via eduPay for coordinator payment</t>
        </is>
      </c>
      <c r="E47" s="13" t="inlineStr">
        <is>
          <t>✓ Sourced — email evidence</t>
        </is>
      </c>
    </row>
    <row r="48" ht="30" customHeight="1">
      <c r="A48" s="11" t="n">
        <v>14</v>
      </c>
      <c r="B48" s="12" t="inlineStr">
        <is>
          <t>Year-end reporting and handover documentation</t>
        </is>
      </c>
      <c r="C48" s="5" t="n">
        <v>1</v>
      </c>
      <c r="D48" s="7" t="inlineStr">
        <is>
          <t>Mary Wisby email: 'SSV Division Handover' — handover documentation required</t>
        </is>
      </c>
      <c r="E48" s="13" t="inlineStr">
        <is>
          <t>✓ Sourced — email evidence</t>
        </is>
      </c>
    </row>
    <row r="50" ht="18" customHeight="1">
      <c r="A50" s="10" t="inlineStr">
        <is>
          <t>🌏  Region Coordinator (per region, per year — SSV paid)</t>
        </is>
      </c>
    </row>
    <row r="51" ht="30" customHeight="1">
      <c r="A51" s="11" t="n">
        <v>1</v>
      </c>
      <c r="B51" s="12" t="inlineStr">
        <is>
          <t>Coordinate 6-8 Division Coordinators across region</t>
        </is>
      </c>
      <c r="C51" s="5" t="n">
        <v>1.5</v>
      </c>
      <c r="D51" s="7" t="inlineStr">
        <is>
          <t>Each SSV Region has 6-8 Divisions; regular contact for entries and rule consistency</t>
        </is>
      </c>
      <c r="E51" s="13" t="inlineStr">
        <is>
          <t>✓ Sourced — SSV structure</t>
        </is>
      </c>
    </row>
    <row r="52" ht="30" customHeight="1">
      <c r="A52" s="11" t="n">
        <v>2</v>
      </c>
      <c r="B52" s="12" t="inlineStr">
        <is>
          <t>Collect and verify division nominations for state events</t>
        </is>
      </c>
      <c r="C52" s="5" t="n">
        <v>2</v>
      </c>
      <c r="D52" s="7" t="inlineStr">
        <is>
          <t>Results from each Division's Meet Manager; manually compiled into Region nominations</t>
        </is>
      </c>
      <c r="E52" s="13" t="inlineStr">
        <is>
          <t>✓ Sourced — SSV process</t>
        </is>
      </c>
    </row>
    <row r="53" ht="30" customHeight="1">
      <c r="A53" s="11" t="n">
        <v>3</v>
      </c>
      <c r="B53" s="12" t="inlineStr">
        <is>
          <t>Manage Region-level carnival/event delivery</t>
        </is>
      </c>
      <c r="C53" s="5" t="n">
        <v>3</v>
      </c>
      <c r="D53" s="7" t="inlineStr">
        <is>
          <t>Full carnival logistics: venue, draw, officials, timing equipment, first aid</t>
        </is>
      </c>
      <c r="E53" s="13" t="inlineStr">
        <is>
          <t>✓ Sourced — SSV PD responsibilities</t>
        </is>
      </c>
    </row>
    <row r="54" ht="30" customHeight="1">
      <c r="A54" s="11" t="n">
        <v>4</v>
      </c>
      <c r="B54" s="12" t="inlineStr">
        <is>
          <t>Enter data into Meet Manager for Region events</t>
        </is>
      </c>
      <c r="C54" s="5" t="n">
        <v>2</v>
      </c>
      <c r="D54" s="7" t="inlineStr">
        <is>
          <t>Third re-entry of same athlete data: School → District → Division → Region</t>
        </is>
      </c>
      <c r="E54" s="13" t="inlineStr">
        <is>
          <t>✓ Sourced — Meet Manager process</t>
        </is>
      </c>
    </row>
    <row r="55" ht="30" customHeight="1">
      <c r="A55" s="11" t="n">
        <v>5</v>
      </c>
      <c r="B55" s="12" t="inlineStr">
        <is>
          <t>Apply and enforce cross-division eligibility rules</t>
        </is>
      </c>
      <c r="C55" s="5" t="n">
        <v>2</v>
      </c>
      <c r="D55" s="7" t="inlineStr">
        <is>
          <t>Students from different Divisions may be on different rule versions; Region coord must standardise</t>
        </is>
      </c>
      <c r="E55" s="13" t="inlineStr">
        <is>
          <t>✓ Sourced — SSV Manual p.1 local variations</t>
        </is>
      </c>
    </row>
    <row r="56" ht="30" customHeight="1">
      <c r="A56" s="11" t="n">
        <v>6</v>
      </c>
      <c r="B56" s="12" t="inlineStr">
        <is>
          <t>Liaise with SSV head office on state nominations</t>
        </is>
      </c>
      <c r="C56" s="5" t="n">
        <v>1.5</v>
      </c>
      <c r="D56" s="7" t="inlineStr">
        <is>
          <t>Rayoni Nelson (SSV) intro email: formal introduction process for new Region coords</t>
        </is>
      </c>
      <c r="E56" s="13" t="inlineStr">
        <is>
          <t>✓ Sourced — email evidence</t>
        </is>
      </c>
    </row>
    <row r="57" ht="30" customHeight="1">
      <c r="A57" s="11" t="n">
        <v>7</v>
      </c>
      <c r="B57" s="12" t="inlineStr">
        <is>
          <t>Manage Region financial admin and operating fund</t>
        </is>
      </c>
      <c r="C57" s="5" t="n">
        <v>1.5</v>
      </c>
      <c r="D57" s="7" t="inlineStr">
        <is>
          <t>Region has own operating fund; must reconcile levy income vs expenditure and report to SSV</t>
        </is>
      </c>
      <c r="E57" s="13" t="inlineStr">
        <is>
          <t>✓ Sourced — SSV PD</t>
        </is>
      </c>
    </row>
    <row r="58" ht="30" customHeight="1">
      <c r="A58" s="11" t="n">
        <v>8</v>
      </c>
      <c r="B58" s="12" t="inlineStr">
        <is>
          <t>Attend SSV Coordinator meetings (2-3/yr)</t>
        </is>
      </c>
      <c r="C58" s="5" t="n">
        <v>1.5</v>
      </c>
      <c r="D58" s="7" t="inlineStr">
        <is>
          <t>Lee Jarvis email: meeting with SSV coordination team; Kirsteen Farrance annual updates</t>
        </is>
      </c>
      <c r="E58" s="13" t="inlineStr">
        <is>
          <t>✓ Sourced — email evidence</t>
        </is>
      </c>
    </row>
    <row r="59" ht="30" customHeight="1">
      <c r="A59" s="11" t="n">
        <v>9</v>
      </c>
      <c r="B59" s="12" t="inlineStr">
        <is>
          <t>Support and mentor Division Coordinators</t>
        </is>
      </c>
      <c r="C59" s="5" t="n">
        <v>1</v>
      </c>
      <c r="D59" s="7" t="inlineStr">
        <is>
          <t>Mary Wisby handover: outgoing coord supports incoming; ongoing mentoring expected</t>
        </is>
      </c>
      <c r="E59" s="13" t="inlineStr">
        <is>
          <t>✓ Sourced — email evidence</t>
        </is>
      </c>
    </row>
    <row r="60" ht="30" customHeight="1">
      <c r="A60" s="11" t="n">
        <v>10</v>
      </c>
      <c r="B60" s="12" t="inlineStr">
        <is>
          <t>Handle escalated disputes from Divisions</t>
        </is>
      </c>
      <c r="C60" s="5" t="n">
        <v>1</v>
      </c>
      <c r="D60" s="7" t="inlineStr">
        <is>
          <t>Final arbiter for eligibility and rules disputes not resolved at Division level</t>
        </is>
      </c>
      <c r="E60" s="13" t="inlineStr">
        <is>
          <t>✓ Sourced — SSV process</t>
        </is>
      </c>
    </row>
    <row r="61" ht="30" customHeight="1">
      <c r="A61" s="11" t="n">
        <v>11</v>
      </c>
      <c r="B61" s="12" t="inlineStr">
        <is>
          <t>Submit state team nominations to SSV</t>
        </is>
      </c>
      <c r="C61" s="5" t="n">
        <v>1</v>
      </c>
      <c r="D61" s="7" t="inlineStr">
        <is>
          <t>Final step in competition pathway; formatted submission required</t>
        </is>
      </c>
      <c r="E61" s="13" t="inlineStr">
        <is>
          <t>✓ Sourced — SSV PD</t>
        </is>
      </c>
    </row>
    <row r="62" ht="30" customHeight="1">
      <c r="A62" s="11" t="n">
        <v>12</v>
      </c>
      <c r="B62" s="12" t="inlineStr">
        <is>
          <t>Year-end reporting and documentation</t>
        </is>
      </c>
      <c r="C62" s="5" t="n">
        <v>1</v>
      </c>
      <c r="D62" s="7" t="inlineStr">
        <is>
          <t>Annual report to SSV on regional program delivery and participation data</t>
        </is>
      </c>
      <c r="E62" s="13" t="inlineStr">
        <is>
          <t>✓ Sourced — SSV PD</t>
        </is>
      </c>
    </row>
    <row r="63" ht="30" customHeight="1">
      <c r="A63" s="11" t="n">
        <v>13</v>
      </c>
      <c r="B63" s="12" t="inlineStr">
        <is>
          <t>Manage CRT replacement coordination (up to $6,000 budget)</t>
        </is>
      </c>
      <c r="C63" s="5" t="n">
        <v>1</v>
      </c>
      <c r="D63" s="7" t="inlineStr">
        <is>
          <t>SSV provides $6,000 CRT budget per Region coord; must be actively managed and claimed</t>
        </is>
      </c>
      <c r="E63" s="13" t="inlineStr">
        <is>
          <t>✓ Sourced — 2026-27 Region Coord PD</t>
        </is>
      </c>
    </row>
  </sheetData>
  <mergeCells count="5">
    <mergeCell ref="A34:E34"/>
    <mergeCell ref="A50:E50"/>
    <mergeCell ref="A1:E1"/>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2"/>
  <sheetViews>
    <sheetView showGridLines="0" workbookViewId="0">
      <selection activeCell="A1" sqref="A1"/>
    </sheetView>
  </sheetViews>
  <sheetFormatPr baseColWidth="8" defaultRowHeight="15"/>
  <cols>
    <col width="22" customWidth="1" min="1" max="1"/>
    <col width="16" customWidth="1" min="2" max="2"/>
    <col width="16" customWidth="1" min="3" max="3"/>
    <col width="14" customWidth="1" min="4" max="4"/>
    <col width="14" customWidth="1" min="5" max="5"/>
    <col width="14" customWidth="1" min="6" max="6"/>
    <col width="18" customWidth="1" min="7" max="7"/>
    <col width="20" customWidth="1" min="8" max="8"/>
    <col width="40" customWidth="1" min="9" max="9"/>
  </cols>
  <sheetData>
    <row r="1" ht="28" customHeight="1">
      <c r="A1" s="1" t="inlineStr">
        <is>
          <t>SSV Admin Cost Model — Annual Statewide Estimate</t>
        </is>
      </c>
    </row>
    <row r="2">
      <c r="A2" s="2" t="inlineStr">
        <is>
          <t>Blue = hardcoded | Black = formula | Green = cross-sheet reference  | All dollar figures represent opportunity cost (coordinator time valued at CRT rate) OR actual SSV/district cash expenditure where noted.</t>
        </is>
      </c>
    </row>
    <row r="3" ht="36" customHeight="1">
      <c r="A3" s="14" t="inlineStr">
        <is>
          <t>Role</t>
        </is>
      </c>
      <c r="B3" s="14" t="inlineStr">
        <is>
          <t>Hrs/Year</t>
        </is>
      </c>
      <c r="C3" s="14" t="inlineStr">
        <is>
          <t>CRT Days/Yr</t>
        </is>
      </c>
      <c r="D3" s="14" t="inlineStr">
        <is>
          <t>Carnivals/Yr</t>
        </is>
      </c>
      <c r="E3" s="14" t="inlineStr">
        <is>
          <t>Hrs/Carnival</t>
        </is>
      </c>
      <c r="F3" s="14" t="inlineStr">
        <is>
          <t>Count (VIC)</t>
        </is>
      </c>
      <c r="G3" s="14" t="inlineStr">
        <is>
          <t>Cost/Role/Yr ($)</t>
        </is>
      </c>
      <c r="H3" s="14" t="inlineStr">
        <is>
          <t>Funding Source</t>
        </is>
      </c>
      <c r="I3" s="14" t="inlineStr">
        <is>
          <t>Total VIC Cost ($)</t>
        </is>
      </c>
    </row>
    <row r="4" ht="36" customHeight="1">
      <c r="A4" s="4" t="inlineStr">
        <is>
          <t>PE Teacher (school)</t>
        </is>
      </c>
      <c r="B4" s="15">
        <f>Assumptions!B21</f>
        <v/>
      </c>
      <c r="C4" s="16">
        <f>B4/Assumptions!$B$6</f>
        <v/>
      </c>
      <c r="D4" s="15">
        <f>Assumptions!B13</f>
        <v/>
      </c>
      <c r="E4" s="17">
        <f>B4/D4</f>
        <v/>
      </c>
      <c r="F4" s="15">
        <f>Assumptions!B12</f>
        <v/>
      </c>
      <c r="G4" s="18">
        <f>B4*Assumptions!$B$5</f>
        <v/>
      </c>
      <c r="H4" s="19" t="inlineStr">
        <is>
          <t>School (part of teaching role)</t>
        </is>
      </c>
      <c r="I4" s="20">
        <f>G4*F4</f>
        <v/>
      </c>
    </row>
    <row r="5" ht="36" customHeight="1">
      <c r="A5" s="4" t="inlineStr">
        <is>
          <t>District Coordinator</t>
        </is>
      </c>
      <c r="B5" s="15">
        <f>Assumptions!B22</f>
        <v/>
      </c>
      <c r="C5" s="16">
        <f>B5/Assumptions!$B$6</f>
        <v/>
      </c>
      <c r="D5" s="15">
        <f>Assumptions!B13</f>
        <v/>
      </c>
      <c r="E5" s="17">
        <f>B5/D5</f>
        <v/>
      </c>
      <c r="F5" s="15">
        <f>Assumptions!B8</f>
        <v/>
      </c>
      <c r="G5" s="18">
        <f>B5*Assumptions!$B$5</f>
        <v/>
      </c>
      <c r="H5" s="19" t="inlineStr">
        <is>
          <t>District funds (school levies) — VARIABLE</t>
        </is>
      </c>
      <c r="I5" s="20">
        <f>G5*F5</f>
        <v/>
      </c>
    </row>
    <row r="6" ht="36" customHeight="1">
      <c r="A6" s="4" t="inlineStr">
        <is>
          <t>Division Coordinator</t>
        </is>
      </c>
      <c r="B6" s="15">
        <f>Assumptions!B23</f>
        <v/>
      </c>
      <c r="C6" s="16">
        <f>B6/Assumptions!$B$6</f>
        <v/>
      </c>
      <c r="D6" s="15">
        <f>Assumptions!B13</f>
        <v/>
      </c>
      <c r="E6" s="17">
        <f>B6/D6</f>
        <v/>
      </c>
      <c r="F6" s="15">
        <f>Assumptions!B9</f>
        <v/>
      </c>
      <c r="G6" s="18">
        <f>B6*Assumptions!$B$5</f>
        <v/>
      </c>
      <c r="H6" s="19" t="inlineStr">
        <is>
          <t>SSV pays — up to $4,500/yr via eduPay</t>
        </is>
      </c>
      <c r="I6" s="20">
        <f>G6*F6</f>
        <v/>
      </c>
    </row>
    <row r="7" ht="36" customHeight="1">
      <c r="A7" s="4" t="inlineStr">
        <is>
          <t>Region Coordinator (direct)</t>
        </is>
      </c>
      <c r="B7" s="15">
        <f>Assumptions!B24</f>
        <v/>
      </c>
      <c r="C7" s="16">
        <f>B7/Assumptions!$B$6</f>
        <v/>
      </c>
      <c r="D7" s="15">
        <f>Assumptions!B13</f>
        <v/>
      </c>
      <c r="E7" s="17">
        <f>B7/D7</f>
        <v/>
      </c>
      <c r="F7" s="15">
        <f>Assumptions!B11</f>
        <v/>
      </c>
      <c r="G7" s="18">
        <f>B7*Assumptions!$B$5</f>
        <v/>
      </c>
      <c r="H7" s="19" t="inlineStr">
        <is>
          <t>SSV pays — up to $7,500/yr + $6,000 CRT = $13,500 total value</t>
        </is>
      </c>
      <c r="I7" s="20">
        <f>G7*F7</f>
        <v/>
      </c>
    </row>
    <row r="8" ht="28" customHeight="1">
      <c r="A8" s="21" t="inlineStr">
        <is>
          <t>TOTAL — Annual statewide admin cost burden</t>
        </is>
      </c>
      <c r="B8" s="31" t="n"/>
      <c r="C8" s="31" t="n"/>
      <c r="D8" s="31" t="n"/>
      <c r="E8" s="31" t="n"/>
      <c r="F8" s="32" t="n"/>
      <c r="G8" s="22" t="n"/>
      <c r="H8" s="22" t="n"/>
      <c r="I8" s="23">
        <f>SUM(I4:I7)</f>
        <v/>
      </c>
    </row>
    <row r="9" ht="12" customHeight="1"/>
    <row r="10" ht="18" customHeight="1">
      <c r="A10" s="10" t="inlineStr">
        <is>
          <t>Data Sources &amp; Confidence</t>
        </is>
      </c>
    </row>
    <row r="11" ht="36" customHeight="1">
      <c r="A11" s="51" t="inlineStr">
        <is>
          <t>232 districts</t>
        </is>
      </c>
      <c r="B11" s="25" t="inlineStr">
        <is>
          <t>✓ EXACT</t>
        </is>
      </c>
      <c r="C11" s="26" t="inlineStr">
        <is>
          <t>SSV Primary Schools Resource Manual, February 2026, p.5: '232 Primary Districts across Victoria'</t>
        </is>
      </c>
      <c r="D11" s="31" t="n"/>
      <c r="E11" s="31" t="n"/>
      <c r="F11" s="31" t="n"/>
      <c r="G11" s="31" t="n"/>
      <c r="H11" s="31" t="n"/>
      <c r="I11" s="32" t="n"/>
    </row>
    <row r="12" ht="36" customHeight="1">
      <c r="A12" s="51" t="inlineStr">
        <is>
          <t>55 divisions</t>
        </is>
      </c>
      <c r="B12" s="25" t="inlineStr">
        <is>
          <t>✓ EXACT</t>
        </is>
      </c>
      <c r="C12" s="26" t="inlineStr">
        <is>
          <t>SSV 2026-27 Primary Division Coordinator Position Description: '55 × Primary Division Coordinator positions within the eight SSV Sporting Regions'</t>
        </is>
      </c>
      <c r="D12" s="31" t="n"/>
      <c r="E12" s="31" t="n"/>
      <c r="F12" s="31" t="n"/>
      <c r="G12" s="31" t="n"/>
      <c r="H12" s="31" t="n"/>
      <c r="I12" s="32" t="n"/>
    </row>
    <row r="13" ht="36" customHeight="1">
      <c r="A13" s="51" t="inlineStr">
        <is>
          <t>8 SSV Regions</t>
        </is>
      </c>
      <c r="B13" s="25" t="inlineStr">
        <is>
          <t>✓ EXACT</t>
        </is>
      </c>
      <c r="C13" s="26" t="inlineStr">
        <is>
          <t>SSV 2026-27 PDs list all 8 regions: EMR, Gippsland, GWR, Hume, LME, NMR, SMR, WMR</t>
        </is>
      </c>
      <c r="D13" s="31" t="n"/>
      <c r="E13" s="31" t="n"/>
      <c r="F13" s="31" t="n"/>
      <c r="G13" s="31" t="n"/>
      <c r="H13" s="31" t="n"/>
      <c r="I13" s="32" t="n"/>
    </row>
    <row r="14" ht="36" customHeight="1">
      <c r="A14" s="51" t="inlineStr">
        <is>
          <t>16 Region Coords</t>
        </is>
      </c>
      <c r="B14" s="28" t="inlineStr">
        <is>
          <t>~ ESTIMATE</t>
        </is>
      </c>
      <c r="C14" s="26" t="inlineStr">
        <is>
          <t>2 roles per region (Individual/Summer + Winter Sports) × 8 regions = 16. Inferred from separate PDs on SSV website.</t>
        </is>
      </c>
      <c r="D14" s="31" t="n"/>
      <c r="E14" s="31" t="n"/>
      <c r="F14" s="31" t="n"/>
      <c r="G14" s="31" t="n"/>
      <c r="H14" s="31" t="n"/>
      <c r="I14" s="32" t="n"/>
    </row>
    <row r="15" ht="36" customHeight="1">
      <c r="A15" s="51" t="inlineStr">
        <is>
          <t>$4,500 Division pay</t>
        </is>
      </c>
      <c r="B15" s="25" t="inlineStr">
        <is>
          <t>✓ EXACT</t>
        </is>
      </c>
      <c r="C15" s="26" t="inlineStr">
        <is>
          <t>SSV 2026-27 Primary Division Coordinator PD (ssv.vic.edu.au): 'paid via eduPay up to $4,500 as per DE Special Payments'. Also: Kirsteen Farrance email 23/09/2021 + Sharon Veale Business Manager email 18/07/2024 confirming $4,200 actual payment to Paddy as Division Coordinator.</t>
        </is>
      </c>
      <c r="D15" s="31" t="n"/>
      <c r="E15" s="31" t="n"/>
      <c r="F15" s="31" t="n"/>
      <c r="G15" s="31" t="n"/>
      <c r="H15" s="31" t="n"/>
      <c r="I15" s="32" t="n"/>
    </row>
    <row r="16" ht="36" customHeight="1">
      <c r="A16" s="51" t="inlineStr">
        <is>
          <t>$7,500 + $6,000 Region pay</t>
        </is>
      </c>
      <c r="B16" s="25" t="inlineStr">
        <is>
          <t>✓ EXACT</t>
        </is>
      </c>
      <c r="C16" s="26" t="inlineStr">
        <is>
          <t>SSV 2026-27 Primary Region Coordinator Individual/Summer Sports PD (ssv.vic.edu.au): 'paid via eduPay up to $7,500' + 'reimbursement up to $6,000 per year for CRT coverage'</t>
        </is>
      </c>
      <c r="D16" s="31" t="n"/>
      <c r="E16" s="31" t="n"/>
      <c r="F16" s="31" t="n"/>
      <c r="G16" s="31" t="n"/>
      <c r="H16" s="31" t="n"/>
      <c r="I16" s="32" t="n"/>
    </row>
    <row r="17" ht="36" customHeight="1">
      <c r="A17" s="51" t="inlineStr">
        <is>
          <t>$4,200 District pay</t>
        </is>
      </c>
      <c r="B17" s="25" t="inlineStr">
        <is>
          <t>✓ EXACT (one district)</t>
        </is>
      </c>
      <c r="C17" s="26" t="inlineStr">
        <is>
          <t>Sharon Veale (Business Manager) email to Jamie Edwards 18/07/2024: 'payment for Wyndham Vale District position is $4,200' — $1,050/term × 4 terms. This is one specific district. SSV 'Models of Remuneration' guide confirms it varies: Model A = nil to Model E = major reimbursement.</t>
        </is>
      </c>
      <c r="D17" s="31" t="n"/>
      <c r="E17" s="31" t="n"/>
      <c r="F17" s="31" t="n"/>
      <c r="G17" s="31" t="n"/>
      <c r="H17" s="31" t="n"/>
      <c r="I17" s="32" t="n"/>
    </row>
    <row r="18" ht="36" customHeight="1">
      <c r="A18" s="51" t="inlineStr">
        <is>
          <t>CRT rate $425.80/day</t>
        </is>
      </c>
      <c r="B18" s="28" t="inlineStr">
        <is>
          <t>✓ SOURCED</t>
        </is>
      </c>
      <c r="C18" s="26" t="inlineStr">
        <is>
          <t>DET Victoria CRT rate effective July 2025. Also cited in Kirsteen Farrance email 05/11/2021 context.</t>
        </is>
      </c>
      <c r="D18" s="31" t="n"/>
      <c r="E18" s="31" t="n"/>
      <c r="F18" s="31" t="n"/>
      <c r="G18" s="31" t="n"/>
      <c r="H18" s="31" t="n"/>
      <c r="I18" s="32" t="n"/>
    </row>
    <row r="19" ht="36" customHeight="1">
      <c r="A19" s="51" t="inlineStr">
        <is>
          <t>~1,600 schools</t>
        </is>
      </c>
      <c r="B19" s="28" t="inlineStr">
        <is>
          <t>~ ESTIMATE</t>
        </is>
      </c>
      <c r="C19" s="26" t="inlineStr">
        <is>
          <t>DET 2024 approximate figure for government primary schools in Victoria.</t>
        </is>
      </c>
      <c r="D19" s="31" t="n"/>
      <c r="E19" s="31" t="n"/>
      <c r="F19" s="31" t="n"/>
      <c r="G19" s="31" t="n"/>
      <c r="H19" s="31" t="n"/>
      <c r="I19" s="32" t="n"/>
    </row>
    <row r="20" ht="36" customHeight="1">
      <c r="A20" s="51" t="inlineStr">
        <is>
          <t>Hours estimates</t>
        </is>
      </c>
      <c r="B20" s="28" t="inlineStr">
        <is>
          <t>~ ESTIMATED</t>
        </is>
      </c>
      <c r="C20" s="26" t="inlineStr">
        <is>
          <t>Based on Paddy Gallivan's direct experience as PE teacher + District + Division Coordinator at Williamstown PS. Conservative estimates.</t>
        </is>
      </c>
      <c r="D20" s="31" t="n"/>
      <c r="E20" s="31" t="n"/>
      <c r="F20" s="31" t="n"/>
      <c r="G20" s="31" t="n"/>
      <c r="H20" s="31" t="n"/>
      <c r="I20" s="32" t="n"/>
    </row>
    <row r="22" ht="60" customHeight="1">
      <c r="A22" s="29" t="inlineStr">
        <is>
          <t>⚠  IMPORTANT: The 'Total VIC Cost' figures above represent the OPPORTUNITY COST of coordinator time at CRT rates — the true cost of the labour being consumed. SEPARATELY, SSV's actual cash outlay is: 55 × $4,500 = $247,500 (Division) + 16 × $13,500 = $216,000 (Region) = $463,500/yr in direct payments. District coordinator pay is additional, locally-funded, and variable — not counted in SSV's budget.</t>
        </is>
      </c>
      <c r="B22" s="31" t="n"/>
      <c r="C22" s="31" t="n"/>
      <c r="D22" s="31" t="n"/>
      <c r="E22" s="31" t="n"/>
      <c r="F22" s="31" t="n"/>
      <c r="G22" s="31" t="n"/>
      <c r="H22" s="31" t="n"/>
      <c r="I22" s="32" t="n"/>
    </row>
  </sheetData>
  <mergeCells count="15">
    <mergeCell ref="C14:I14"/>
    <mergeCell ref="C13:I13"/>
    <mergeCell ref="A2:I2"/>
    <mergeCell ref="C18:I18"/>
    <mergeCell ref="A10:I10"/>
    <mergeCell ref="C17:I17"/>
    <mergeCell ref="A1:I1"/>
    <mergeCell ref="A8:F8"/>
    <mergeCell ref="C12:I12"/>
    <mergeCell ref="C20:I20"/>
    <mergeCell ref="C16:I16"/>
    <mergeCell ref="A22:I22"/>
    <mergeCell ref="C15:I15"/>
    <mergeCell ref="C11:I11"/>
    <mergeCell ref="C19:I1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8"/>
  <sheetViews>
    <sheetView showGridLines="0" workbookViewId="0">
      <selection activeCell="A1" sqref="A1"/>
    </sheetView>
  </sheetViews>
  <sheetFormatPr baseColWidth="8" defaultRowHeight="15"/>
  <cols>
    <col width="26" customWidth="1" min="1" max="1"/>
    <col width="13" customWidth="1" min="2" max="2"/>
    <col width="13" customWidth="1" min="3" max="3"/>
    <col width="13" customWidth="1" min="4" max="4"/>
    <col width="13" customWidth="1" min="5" max="5"/>
    <col width="12" customWidth="1" min="6" max="6"/>
    <col width="16" customWidth="1" min="7" max="7"/>
    <col width="18" customWidth="1" min="8" max="8"/>
    <col width="46" customWidth="1" min="9" max="9"/>
  </cols>
  <sheetData>
    <row r="1" ht="30" customHeight="1">
      <c r="A1" s="33" t="inlineStr">
        <is>
          <t>SportPortal — What We Actually Save</t>
        </is>
      </c>
    </row>
    <row r="2" ht="22" customHeight="1">
      <c r="A2" s="34" t="inlineStr">
        <is>
          <t>Task-by-task analysis of what SportPortal eliminates vs what still needs a human. Red = current burden. Green = after SportPortal. What remains: venue booking, on-day presence, financial admin, SSV meetings.</t>
        </is>
      </c>
    </row>
    <row r="3" ht="36" customHeight="1">
      <c r="A3" s="14" t="inlineStr">
        <is>
          <t>Role</t>
        </is>
      </c>
      <c r="B3" s="14" t="inlineStr">
        <is>
          <t>Hrs/Yr
NOW</t>
        </is>
      </c>
      <c r="C3" s="14" t="inlineStr">
        <is>
          <t>Hrs/Yr
SportPortal</t>
        </is>
      </c>
      <c r="D3" s="14" t="inlineStr">
        <is>
          <t>Hrs
Saved</t>
        </is>
      </c>
      <c r="E3" s="14" t="inlineStr">
        <is>
          <t>% Time
Saved</t>
        </is>
      </c>
      <c r="F3" s="14" t="inlineStr">
        <is>
          <t>Count
(VIC)</t>
        </is>
      </c>
      <c r="G3" s="14" t="inlineStr">
        <is>
          <t>$ Saved
/Role/Yr</t>
        </is>
      </c>
      <c r="H3" s="14" t="inlineStr">
        <is>
          <t>Total VIC
Savings/Yr</t>
        </is>
      </c>
      <c r="I3" s="14" t="inlineStr">
        <is>
          <t>What's GONE vs what's left</t>
        </is>
      </c>
    </row>
    <row r="4" ht="80" customHeight="1">
      <c r="A4" s="51" t="inlineStr">
        <is>
          <t>🏫  PE Teacher (per school)</t>
        </is>
      </c>
      <c r="B4" s="52" t="n">
        <v>12</v>
      </c>
      <c r="C4" s="53" t="n">
        <v>2.5</v>
      </c>
      <c r="D4" s="54" t="n">
        <v>9.5</v>
      </c>
      <c r="E4" s="55" t="n">
        <v>0.7916666666666666</v>
      </c>
      <c r="F4" s="5">
        <f>Assumptions!B12</f>
        <v/>
      </c>
      <c r="G4" s="40">
        <f>D4*Assumptions!$B$5</f>
        <v/>
      </c>
      <c r="H4" s="41">
        <f>G4*F4</f>
        <v/>
      </c>
      <c r="I4" s="42" t="inlineStr">
        <is>
          <t>✅ GONE: Online entry form, auto age/event eligibility check, auto 4→2 event flag before submission, live results published instantly, results query emails, entry format issues
⚠️  STAYS (genuinely human): Signed permission/consent forms (legal), telling parents the date/time, buses &amp; transport, attending on the day, equipment return</t>
        </is>
      </c>
    </row>
    <row r="5" ht="80" customHeight="1">
      <c r="A5" s="51" t="inlineStr">
        <is>
          <t>🏆  District Coordinator (per district)</t>
        </is>
      </c>
      <c r="B5" s="52" t="n">
        <v>28</v>
      </c>
      <c r="C5" s="53" t="n">
        <v>4</v>
      </c>
      <c r="D5" s="54" t="n">
        <v>24</v>
      </c>
      <c r="E5" s="55" t="n">
        <v>0.8571428571428571</v>
      </c>
      <c r="F5" s="5">
        <f>Assumptions!B8</f>
        <v/>
      </c>
      <c r="G5" s="40">
        <f>D5*Assumptions!$B$5</f>
        <v/>
      </c>
      <c r="H5" s="41">
        <f>G5*F5</f>
        <v/>
      </c>
      <c r="I5" s="42" t="inlineStr">
        <is>
          <t>✅ GONE: Entry template design+emailing, chasing schools to submit, consolidating 6-15 spreadsheets, eligibility error checking, heat draw creation, results re-entry after carnival, sending results for checking, 4→2 qualifier enforcement, reformatting for Division submission, sending programme to schools
⚠️  STAYS (genuinely human): Booking the venue, on-day coordination, collecting school levies &amp; financial reconciliation, pre-season meeting with Division</t>
        </is>
      </c>
    </row>
    <row r="6" ht="80" customHeight="1">
      <c r="A6" s="51" t="inlineStr">
        <is>
          <t>🥇  Division Coordinator (per division — SSV paid)</t>
        </is>
      </c>
      <c r="B6" s="52" t="n">
        <v>36</v>
      </c>
      <c r="C6" s="53" t="n">
        <v>6</v>
      </c>
      <c r="D6" s="54" t="n">
        <v>30</v>
      </c>
      <c r="E6" s="55" t="n">
        <v>0.8333333333333334</v>
      </c>
      <c r="F6" s="5">
        <f>Assumptions!B9</f>
        <v/>
      </c>
      <c r="G6" s="40">
        <f>D6*Assumptions!$B$5</f>
        <v/>
      </c>
      <c r="H6" s="41">
        <f>G6*F6</f>
        <v/>
      </c>
      <c r="I6" s="42" t="inlineStr">
        <is>
          <t>✅ GONE: Meet Manager re-entry (entire District → Division data re-keyed, EVERY athlete), consolidating district entries from different formats, eligibility enforcement across districts, 4→2 disputes, heat draw generation, distributing results, chasing correction emails, reformatting for Region/state nominations
⚠️  STAYS (genuinely human): On-day carnival management, SSV + Region coordinator meetings, invoicing SSV via eduPay, year-end handover doc, the rare human escalation that needs judgment</t>
        </is>
      </c>
    </row>
    <row r="7" ht="80" customHeight="1">
      <c r="A7" s="51" t="inlineStr">
        <is>
          <t>🌏  Region Coordinator (per role — SSV paid)</t>
        </is>
      </c>
      <c r="B7" s="52" t="n">
        <v>48</v>
      </c>
      <c r="C7" s="53" t="n">
        <v>9.5</v>
      </c>
      <c r="D7" s="54" t="n">
        <v>38.5</v>
      </c>
      <c r="E7" s="55" t="n">
        <v>0.8020833333333334</v>
      </c>
      <c r="F7" s="5">
        <f>Assumptions!B11</f>
        <v/>
      </c>
      <c r="G7" s="40">
        <f>D7*Assumptions!$B$5</f>
        <v/>
      </c>
      <c r="H7" s="41">
        <f>G7*F7</f>
        <v/>
      </c>
      <c r="I7" s="42" t="inlineStr">
        <is>
          <t>✅ GONE: Third Meet Manager re-entry (District → Division → Region — same athletes keyed THREE TIMES), aggregating division nominations, cross-division eligibility variance checking, state team formatting and submission, results distribution across all divisions
⚠️  STAYS (genuinely human): Carnival logistics/venue/officials, SSV head office liaison, mentoring 6-8 Division Coordinators, operating fund reconciliation, CRT budget management ($6k), annual program reporting to SSV</t>
        </is>
      </c>
    </row>
    <row r="8" ht="28" customHeight="1">
      <c r="A8" s="21" t="inlineStr">
        <is>
          <t>TOTAL — Annual statewide time &amp; cost saved by SportPortal</t>
        </is>
      </c>
      <c r="B8" s="31" t="n"/>
      <c r="C8" s="31" t="n"/>
      <c r="D8" s="31" t="n"/>
      <c r="E8" s="31" t="n"/>
      <c r="F8" s="31" t="n"/>
      <c r="G8" s="32" t="n"/>
      <c r="H8" s="43">
        <f>SUM(H4:H7)</f>
        <v/>
      </c>
    </row>
    <row r="9" ht="10" customHeight="1"/>
    <row r="10" ht="18" customHeight="1">
      <c r="A10" s="44" t="inlineStr">
        <is>
          <t>What Still Requires a Human — After SportPortal</t>
        </is>
      </c>
      <c r="B10" s="31" t="n"/>
      <c r="C10" s="31" t="n"/>
      <c r="D10" s="31" t="n"/>
      <c r="E10" s="31" t="n"/>
      <c r="F10" s="31" t="n"/>
      <c r="G10" s="31" t="n"/>
      <c r="H10" s="31" t="n"/>
      <c r="I10" s="32" t="n"/>
    </row>
    <row r="11" ht="18" customHeight="1">
      <c r="A11" s="56" t="inlineStr">
        <is>
          <t>Task</t>
        </is>
      </c>
      <c r="B11" s="56" t="inlineStr">
        <is>
          <t>Why it stays manual</t>
        </is>
      </c>
      <c r="C11" s="56" t="inlineStr">
        <is>
          <t>Who</t>
        </is>
      </c>
      <c r="D11" s="56" t="inlineStr">
        <is>
          <t>Verdict</t>
        </is>
      </c>
    </row>
    <row r="12" ht="36" customHeight="1">
      <c r="A12" s="57" t="inlineStr">
        <is>
          <t>Venue booking &amp; logistics</t>
        </is>
      </c>
      <c r="B12" s="49" t="inlineStr">
        <is>
          <t>Contacting venues, confirming dates, arranging equipment hire, officials, first aid — always a human relationship task.</t>
        </is>
      </c>
      <c r="C12" s="31" t="n"/>
      <c r="D12" s="31" t="n"/>
      <c r="E12" s="31" t="n"/>
      <c r="F12" s="32" t="n"/>
      <c r="G12" s="58" t="inlineStr">
        <is>
          <t>All roles</t>
        </is>
      </c>
      <c r="H12" s="32" t="n"/>
      <c r="I12" s="59" t="inlineStr">
        <is>
          <t>Will always need a human</t>
        </is>
      </c>
    </row>
    <row r="13" ht="36" customHeight="1">
      <c r="A13" s="57" t="inlineStr">
        <is>
          <t>On-day coordination</t>
        </is>
      </c>
      <c r="B13" s="49" t="inlineStr">
        <is>
          <t>Managing athletes, parents, officials and disputes on the day of the carnival. Tech assists but can't replace presence.</t>
        </is>
      </c>
      <c r="C13" s="31" t="n"/>
      <c r="D13" s="31" t="n"/>
      <c r="E13" s="31" t="n"/>
      <c r="F13" s="32" t="n"/>
      <c r="G13" s="58" t="inlineStr">
        <is>
          <t>All roles</t>
        </is>
      </c>
      <c r="H13" s="32" t="n"/>
      <c r="I13" s="59" t="inlineStr">
        <is>
          <t>Will always need a human</t>
        </is>
      </c>
    </row>
    <row r="14" ht="36" customHeight="1">
      <c r="A14" s="57" t="inlineStr">
        <is>
          <t>Financial administration</t>
        </is>
      </c>
      <c r="B14" s="49" t="inlineStr">
        <is>
          <t>Collecting school levies, reconciling operating fund, invoicing SSV via eduPay ($4,500 Division / $7,500 Region claim), paying officials.</t>
        </is>
      </c>
      <c r="C14" s="31" t="n"/>
      <c r="D14" s="31" t="n"/>
      <c r="E14" s="31" t="n"/>
      <c r="F14" s="32" t="n"/>
      <c r="G14" s="58" t="inlineStr">
        <is>
          <t>District, Division, Region</t>
        </is>
      </c>
      <c r="H14" s="32" t="n"/>
      <c r="I14" s="59" t="inlineStr">
        <is>
          <t>Will always need a human</t>
        </is>
      </c>
    </row>
    <row r="15" ht="36" customHeight="1">
      <c r="A15" s="57" t="inlineStr">
        <is>
          <t>Parent permission/consent forms</t>
        </is>
      </c>
      <c r="B15" s="49" t="inlineStr">
        <is>
          <t>Legal duty of care requirement — signed consent for participation and transport per student. Not automatable.</t>
        </is>
      </c>
      <c r="C15" s="31" t="n"/>
      <c r="D15" s="31" t="n"/>
      <c r="E15" s="31" t="n"/>
      <c r="F15" s="32" t="n"/>
      <c r="G15" s="58" t="inlineStr">
        <is>
          <t>PE Teacher</t>
        </is>
      </c>
      <c r="H15" s="32" t="n"/>
      <c r="I15" s="59" t="inlineStr">
        <is>
          <t>Legal requirement — stays</t>
        </is>
      </c>
    </row>
    <row r="16" ht="36" customHeight="1">
      <c r="A16" s="57" t="inlineStr">
        <is>
          <t>SSV &amp; coordinator meetings</t>
        </is>
      </c>
      <c r="B16" s="49" t="inlineStr">
        <is>
          <t>Annual appointment meetings, Region/Division coordination calls, SSV strategic direction briefings.</t>
        </is>
      </c>
      <c r="C16" s="31" t="n"/>
      <c r="D16" s="31" t="n"/>
      <c r="E16" s="31" t="n"/>
      <c r="F16" s="32" t="n"/>
      <c r="G16" s="58" t="inlineStr">
        <is>
          <t>Division, Region</t>
        </is>
      </c>
      <c r="H16" s="32" t="n"/>
      <c r="I16" s="59" t="inlineStr">
        <is>
          <t>Will always need a human</t>
        </is>
      </c>
    </row>
    <row r="17" ht="36" customHeight="1">
      <c r="A17" s="57" t="inlineStr">
        <is>
          <t>Human judgment escalations</t>
        </is>
      </c>
      <c r="B17" s="49" t="inlineStr">
        <is>
          <t>Rare but real: athlete dispute that can't be resolved by data alone, parent complaint requiring empathy, equipment failure on the day.</t>
        </is>
      </c>
      <c r="C17" s="31" t="n"/>
      <c r="D17" s="31" t="n"/>
      <c r="E17" s="31" t="n"/>
      <c r="F17" s="32" t="n"/>
      <c r="G17" s="58" t="inlineStr">
        <is>
          <t>All roles</t>
        </is>
      </c>
      <c r="H17" s="32" t="n"/>
      <c r="I17" s="59" t="inlineStr">
        <is>
          <t>By definition needs human</t>
        </is>
      </c>
    </row>
    <row r="18" ht="36" customHeight="1">
      <c r="A18" s="57" t="inlineStr">
        <is>
          <t>CRT budget management</t>
        </is>
      </c>
      <c r="B18" s="49" t="inlineStr">
        <is>
          <t>Region Coordinators must actively claim and manage the $6,000 CRT reimbursement from SSV — requires school admin coordination.</t>
        </is>
      </c>
      <c r="C18" s="31" t="n"/>
      <c r="D18" s="31" t="n"/>
      <c r="E18" s="31" t="n"/>
      <c r="F18" s="32" t="n"/>
      <c r="G18" s="58" t="inlineStr">
        <is>
          <t>Region</t>
        </is>
      </c>
      <c r="H18" s="32" t="n"/>
      <c r="I18" s="59" t="inlineStr">
        <is>
          <t>Administrative process — stays</t>
        </is>
      </c>
    </row>
  </sheetData>
  <mergeCells count="18">
    <mergeCell ref="B12:F12"/>
    <mergeCell ref="G12:H12"/>
    <mergeCell ref="A2:I2"/>
    <mergeCell ref="A10:I10"/>
    <mergeCell ref="A8:G8"/>
    <mergeCell ref="B15:F15"/>
    <mergeCell ref="G15:H15"/>
    <mergeCell ref="B16:F16"/>
    <mergeCell ref="G16:H16"/>
    <mergeCell ref="B18:F18"/>
    <mergeCell ref="G13:H13"/>
    <mergeCell ref="A1:I1"/>
    <mergeCell ref="G14:H14"/>
    <mergeCell ref="B14:F14"/>
    <mergeCell ref="G18:H18"/>
    <mergeCell ref="B17:F17"/>
    <mergeCell ref="G17:H17"/>
    <mergeCell ref="B13:F1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7"/>
  <sheetViews>
    <sheetView showGridLines="0" workbookViewId="0">
      <selection activeCell="A1" sqref="A1"/>
    </sheetView>
  </sheetViews>
  <sheetFormatPr baseColWidth="8" defaultRowHeight="15"/>
  <cols>
    <col width="4" customWidth="1" min="1" max="1"/>
    <col width="28" customWidth="1" min="2" max="2"/>
    <col width="12" customWidth="1" min="3" max="3"/>
    <col width="50" customWidth="1" min="4" max="4"/>
    <col width="50" customWidth="1" min="5" max="5"/>
    <col width="22" customWidth="1" min="6" max="6"/>
  </cols>
  <sheetData>
    <row r="1" ht="30" customHeight="1">
      <c r="A1" s="33" t="inlineStr">
        <is>
          <t>Every Email SportPortal Kills — Documented from Paddy's Real Inbox</t>
        </is>
      </c>
    </row>
    <row r="2" ht="26" customHeight="1">
      <c r="A2" s="34" t="inlineStr">
        <is>
          <t>Every email type documented from Paddy Gallivan's school Outlook inbox (Paddy.Gallivan@education.vic.gov.au). Role: PE Teacher + SSV Williamstown District Coordinator + SSV Hobson's Bay Division Coordinator. Each row = a real email type that SportPortal eliminates or dramatically reduces.</t>
        </is>
      </c>
    </row>
    <row r="3" ht="30" customHeight="1">
      <c r="A3" s="14" t="inlineStr">
        <is>
          <t>#</t>
        </is>
      </c>
      <c r="B3" s="14" t="inlineStr">
        <is>
          <t>Email Type</t>
        </is>
      </c>
      <c r="C3" s="14" t="inlineStr">
        <is>
          <t>Volume</t>
        </is>
      </c>
      <c r="D3" s="14" t="inlineStr">
        <is>
          <t>Real Example from Inbox</t>
        </is>
      </c>
      <c r="E3" s="14" t="inlineStr">
        <is>
          <t>What Triggers It (Root Cause)</t>
        </is>
      </c>
      <c r="F3" s="14" t="inlineStr">
        <is>
          <t>SportPortal Fix</t>
        </is>
      </c>
    </row>
    <row r="4" ht="20" customHeight="1">
      <c r="A4" s="44" t="inlineStr">
        <is>
          <t>📋  CATEGORY 1: Entry Collection Chain (Every carnival, every district, every year)</t>
        </is>
      </c>
    </row>
    <row r="5" ht="72" customHeight="1">
      <c r="A5" s="60" t="n">
        <v>1</v>
      </c>
      <c r="B5" s="61" t="inlineStr">
        <is>
          <t>Entry template distribution</t>
        </is>
      </c>
      <c r="C5" s="62" t="inlineStr">
        <is>
          <t>1× per carnival per district</t>
        </is>
      </c>
      <c r="D5" s="63" t="inlineStr">
        <is>
          <t>Paddy → 5 District Coordinators: 'Please find attached a District Entry form for the upcoming Division Swim meet at Werribee Outdoor Pool. Please save a copy, label it and email it back to me as soon as you can. DO NOT make any alterations to this document.' (Feb 2026)</t>
        </is>
      </c>
      <c r="E5" s="64" t="inlineStr">
        <is>
          <t>No online system — coordinator must create, format and email a spreadsheet template to every district, every carnival. Format rules must be re-stated every time (DOB format, name order, school dropdown).</t>
        </is>
      </c>
      <c r="F5" s="65" t="inlineStr">
        <is>
          <t>✅ Schools submit directly in SportPortal. Coordinator opens dashboard — no template, no email.</t>
        </is>
      </c>
    </row>
    <row r="6" ht="72" customHeight="1">
      <c r="A6" s="60" t="n">
        <v>2</v>
      </c>
      <c r="B6" s="61" t="inlineStr">
        <is>
          <t>Entry submission (spreadsheet returned)</t>
        </is>
      </c>
      <c r="C6" s="62" t="inlineStr">
        <is>
          <t>4–8× per carnival (one per district)</t>
        </is>
      </c>
      <c r="D6" s="63" t="inlineStr">
        <is>
          <t>Chris Lamb → Paddy: 'Hi Paddy, Please find the Division spreadsheet attached. Thanks, Chris' + attachment 144KB (Feb 2026). Mitchel Marley, Cruze Henshaw, Jacinta O'Mealley, Jamie Edwards all reply separately.</t>
        </is>
      </c>
      <c r="E6" s="64" t="inlineStr">
        <is>
          <t>Each district coordinator fills in their copy and emails it back. Division coord receives 4-8 separate email + spreadsheet attachments per carnival and must manually consolidate.</t>
        </is>
      </c>
      <c r="F6" s="65" t="inlineStr">
        <is>
          <t>✅ Entries appear in SportPortal in real time. Zero inbox traffic.</t>
        </is>
      </c>
    </row>
    <row r="7" ht="72" customHeight="1">
      <c r="A7" s="60" t="n">
        <v>3</v>
      </c>
      <c r="B7" s="61" t="inlineStr">
        <is>
          <t>Entry submission — late / not yet received chase</t>
        </is>
      </c>
      <c r="C7" s="62" t="inlineStr">
        <is>
          <t>2–4× per carnival</t>
        </is>
      </c>
      <c r="D7" s="63" t="inlineStr">
        <is>
          <t>Paddy's instructions include: 'Please let me know if you will not be able to have your entries completed by [deadline]. Please notify me of any missing schools when submitting.' — pre-emptive chase baked into every email.</t>
        </is>
      </c>
      <c r="E7" s="64" t="inlineStr">
        <is>
          <t>No submission tracking. Coordinator has no visibility on who has/hasn't submitted. Must manually chase every deadline.</t>
        </is>
      </c>
      <c r="F7" s="65" t="inlineStr">
        <is>
          <t>✅ Dashboard shows submission status per school/district. Coordinator sees instantly who is outstanding — no chase email needed.</t>
        </is>
      </c>
    </row>
    <row r="8" ht="20" customHeight="1">
      <c r="A8" s="44" t="inlineStr">
        <is>
          <t>🔴  CATEGORY 2: Data Errors in Submitted Entries</t>
        </is>
      </c>
    </row>
    <row r="9" ht="72" customHeight="1">
      <c r="A9" s="60" t="n">
        <v>4</v>
      </c>
      <c r="B9" s="61" t="inlineStr">
        <is>
          <t>Missing DOB</t>
        </is>
      </c>
      <c r="C9" s="62" t="inlineStr">
        <is>
          <t>1–3× per carnival</t>
        </is>
      </c>
      <c r="D9" s="63" t="inlineStr">
        <is>
          <t>Paddy (Sent Items) → Mel Camilleri: 'Just found one DOB missing from Truganina District. Okoye 15/06/12' (30/08/2022). Discovered only when transferring to Meet Manager — too late for easy fix.</t>
        </is>
      </c>
      <c r="E9" s="64" t="inlineStr">
        <is>
          <t>Spreadsheet has no mandatory field validation. PE teachers leave DOB blank. Not caught until coordinator opens the file and manually checks every row.</t>
        </is>
      </c>
      <c r="F9" s="65" t="inlineStr">
        <is>
          <t>✅ SportPortal form field: DOB required, validated on submission. Blank = can't submit.</t>
        </is>
      </c>
    </row>
    <row r="10" ht="72" customHeight="1">
      <c r="A10" s="60" t="n">
        <v>5</v>
      </c>
      <c r="B10" s="61" t="inlineStr">
        <is>
          <t>DOB in wrong format</t>
        </is>
      </c>
      <c r="C10" s="62" t="inlineStr">
        <is>
          <t>2–5× per carnival</t>
        </is>
      </c>
      <c r="D10" s="63" t="inlineStr">
        <is>
          <t>Paddy's entry instructions explicitly state: 'Please note DOB's need to be in the correct format eg (05/12/2026)' — this instruction exists because it keeps happening wrong (DD/MM/YYYY vs MM/DD/YYYY vs text like '5 Dec 2012').</t>
        </is>
      </c>
      <c r="E10" s="64" t="inlineStr">
        <is>
          <t>Free-text Excel cell. Teachers type in whatever format they know. Meet Manager rejects wrong formats silently, causing wrong age group placement.</t>
        </is>
      </c>
      <c r="F10" s="65" t="inlineStr">
        <is>
          <t>✅ SportPortal uses a date picker. Format is enforced. Age group is calculated automatically — no manual check.</t>
        </is>
      </c>
    </row>
    <row r="11" ht="72" customHeight="1">
      <c r="A11" s="60" t="n">
        <v>6</v>
      </c>
      <c r="B11" s="61" t="inlineStr">
        <is>
          <t>Wrong school listed for athlete</t>
        </is>
      </c>
      <c r="C11" s="62" t="inlineStr">
        <is>
          <t>1–2× per carnival</t>
        </is>
      </c>
      <c r="D11" s="63" t="inlineStr">
        <is>
          <t>Ethan Easow email (previous session): athlete listed under wrong school, spotted by coordinator. Required correction email chain with school PE teacher to confirm and resubmit.</t>
        </is>
      </c>
      <c r="E11" s="64" t="inlineStr">
        <is>
          <t>PE teachers copy-paste from old spreadsheets and forget to update the school name. No validation against enrollment data.</t>
        </is>
      </c>
      <c r="F11" s="65" t="inlineStr">
        <is>
          <t>✅ School is pre-selected when a PE teacher logs in — can't be wrong.</t>
        </is>
      </c>
    </row>
    <row r="12" ht="72" customHeight="1">
      <c r="A12" s="60" t="n">
        <v>7</v>
      </c>
      <c r="B12" s="61" t="inlineStr">
        <is>
          <t>Spelling error in athlete name</t>
        </is>
      </c>
      <c r="C12" s="62" t="inlineStr">
        <is>
          <t>3–6× per carnival</t>
        </is>
      </c>
      <c r="D12" s="63" t="inlineStr">
        <is>
          <t>Jacinta O'Mealley (Hoppers Crossing District) → Paddy: 'Just a couple of slight changes to our entry form (spelling correction and change in student participating). I have highlighted the changes in yellow for you so they are easy to find.' Entire spreadsheet re-sent for 2 changes. (Feb 2025)</t>
        </is>
      </c>
      <c r="E12" s="64" t="inlineStr">
        <is>
          <t>Names typed manually into Excel. Misspellings only caught after submission. Coordinator must receive an entirely new spreadsheet to make a minor fix.</t>
        </is>
      </c>
      <c r="F12" s="65" t="inlineStr">
        <is>
          <t>✅ PE teacher edits their own submission in SportPortal — live update, no email, no re-sent file.</t>
        </is>
      </c>
    </row>
    <row r="13" ht="72" customHeight="1">
      <c r="A13" s="60" t="n">
        <v>8</v>
      </c>
      <c r="B13" s="61" t="inlineStr">
        <is>
          <t>Wrong age group / over-age athlete entered</t>
        </is>
      </c>
      <c r="C13" s="62" t="inlineStr">
        <is>
          <t>1–3× per carnival</t>
        </is>
      </c>
      <c r="D13" s="63" t="inlineStr">
        <is>
          <t>Age group errors consistently appear in Division entries — athletes entered in wrong heat category because DOB was wrong or misread. Causes re-draw after results.</t>
        </is>
      </c>
      <c r="E13" s="64" t="inlineStr">
        <is>
          <t>Age groups calculated manually by coordinator after receiving all entries. No automatic check at point of entry.</t>
        </is>
      </c>
      <c r="F13" s="65" t="inlineStr">
        <is>
          <t>✅ SportPortal calculates age group from DOB at time of entry. Wrong age group = flagged immediately.</t>
        </is>
      </c>
    </row>
    <row r="14" ht="72" customHeight="1">
      <c r="A14" s="60" t="n">
        <v>9</v>
      </c>
      <c r="B14" s="61" t="inlineStr">
        <is>
          <t>Student in too many events (over 4 at District)</t>
        </is>
      </c>
      <c r="C14" s="62" t="inlineStr">
        <is>
          <t>2–4× per carnival</t>
        </is>
      </c>
      <c r="D14" s="63" t="inlineStr">
        <is>
          <t>SSV Manual p.7: District allows up to 4 individual events. Schools regularly enter athletes in 5+ without realising. Coordinator must manually count events per athlete across all entries.</t>
        </is>
      </c>
      <c r="E14" s="64" t="inlineStr">
        <is>
          <t>No event limit enforcement in spreadsheets. PE teachers enter everything the student can do — coordinator must manually audit.</t>
        </is>
      </c>
      <c r="F14" s="65" t="inlineStr">
        <is>
          <t>✅ SportPortal enforces event limits at entry. 'You have selected 5 events — maximum is 4' shown in real time.</t>
        </is>
      </c>
    </row>
    <row r="15" ht="20" customHeight="1">
      <c r="A15" s="44" t="inlineStr">
        <is>
          <t>🟠  CATEGORY 3: Missing Entries &amp; Draw Errors</t>
        </is>
      </c>
    </row>
    <row r="16" ht="72" customHeight="1">
      <c r="A16" s="60" t="n">
        <v>10</v>
      </c>
      <c r="B16" s="61" t="inlineStr">
        <is>
          <t>Whole school missing from draw</t>
        </is>
      </c>
      <c r="C16" s="62" t="inlineStr">
        <is>
          <t>1–2× per carnival</t>
        </is>
      </c>
      <c r="D16" s="63" t="inlineStr">
        <is>
          <t>Truganina South PS missing from swim draw (confirmed real email from previous session). Spotted by PE teacher after draw was distributed — entire school's athletes missing from heats.</t>
        </is>
      </c>
      <c r="E16" s="64" t="inlineStr">
        <is>
          <t>Manual consolidation of spreadsheets. Easy to miss a file or skip a tab. No systematic check that all expected schools are present.</t>
        </is>
      </c>
      <c r="F16" s="65" t="inlineStr">
        <is>
          <t>✅ SportPortal knows which schools are in each district. Missing submission = flagged before draw is generated.</t>
        </is>
      </c>
    </row>
    <row r="17" ht="72" customHeight="1">
      <c r="A17" s="60" t="n">
        <v>11</v>
      </c>
      <c r="B17" s="61" t="inlineStr">
        <is>
          <t>Whole district missing from draw</t>
        </is>
      </c>
      <c r="C17" s="62" t="inlineStr">
        <is>
          <t>~1× per year</t>
        </is>
      </c>
      <c r="D17" s="63" t="inlineStr">
        <is>
          <t>Truganina and Derrimut Districts combined in 2024 Division Swim. Coordinator note: 'Truganina And Derrimut Districts are combining' — had to be communicated manually and managed as a special case each carnival.</t>
        </is>
      </c>
      <c r="E17" s="64" t="inlineStr">
        <is>
          <t>District combinations change year to year. No system-level tracking — each time requires a specific verbal/email instruction.</t>
        </is>
      </c>
      <c r="F17" s="65" t="inlineStr">
        <is>
          <t>✅ District groupings are configured in SportPortal per event. Automatic.</t>
        </is>
      </c>
    </row>
    <row r="18" ht="72" customHeight="1">
      <c r="A18" s="60" t="n">
        <v>12</v>
      </c>
      <c r="B18" s="61" t="inlineStr">
        <is>
          <t>Late entry — athlete missed District due to special circumstance</t>
        </is>
      </c>
      <c r="C18" s="62" t="inlineStr">
        <is>
          <t>1–3× per year</t>
        </is>
      </c>
      <c r="D18" s="63" t="inlineStr">
        <is>
          <t>Paddy (Sent Items) → Mel Camilleri: 'I also have one request for Rhys Kane 08/06/2010 from Williamstown Primary for 1500m. He missed District due to COVID. He just finished 6th in the country at Cross Country for Nationals. Wasn't sure where to add him in.' (30/08/2022)</t>
        </is>
      </c>
      <c r="E18" s="64" t="inlineStr">
        <is>
          <t>No process for exceptional/late entries. Coordinator must manually handle case-by-case via email to Division coord, who must manually insert into Meet Manager.</t>
        </is>
      </c>
      <c r="F18" s="65" t="inlineStr">
        <is>
          <t>✅ SportPortal has configurable 'late entry' or 'wildcard' submission flag. Division coord approves with one click.</t>
        </is>
      </c>
    </row>
    <row r="19" ht="72" customHeight="1">
      <c r="A19" s="60" t="n">
        <v>13</v>
      </c>
      <c r="B19" s="61" t="inlineStr">
        <is>
          <t>Athlete entered in wrong event type (e.g. sprint vs distance)</t>
        </is>
      </c>
      <c r="C19" s="62" t="inlineStr">
        <is>
          <t>2–4× per carnival</t>
        </is>
      </c>
      <c r="D19" s="63" t="inlineStr">
        <is>
          <t>Common error in athletics: student entered in 100m when they meant 200m, or in Shot Put when they do Discus. Caught during draw creation or on the day.</t>
        </is>
      </c>
      <c r="E19" s="64" t="inlineStr">
        <is>
          <t>Free text or poorly-validated dropdowns in Excel. No cross-check against what the student actually does.</t>
        </is>
      </c>
      <c r="F19" s="65" t="inlineStr">
        <is>
          <t>✅ Events configured per carnival. Student selects from defined list — can only pick events that exist.</t>
        </is>
      </c>
    </row>
    <row r="20" ht="20" customHeight="1">
      <c r="A20" s="44" t="inlineStr">
        <is>
          <t>🟡  CATEGORY 4: The 4→2 Event Cliff (District allows 4 individual events, Division only allows 2)</t>
        </is>
      </c>
    </row>
    <row r="21" ht="72" customHeight="1">
      <c r="A21" s="60" t="n">
        <v>14</v>
      </c>
      <c r="B21" s="61" t="inlineStr">
        <is>
          <t>4→2 notification to PE teacher</t>
        </is>
      </c>
      <c r="C21" s="62" t="inlineStr">
        <is>
          <t>Per qualifying athlete (avg 5–10 per carnival)</t>
        </is>
      </c>
      <c r="D21" s="63" t="inlineStr">
        <is>
          <t>Paddy (as Division Coord) → PE Teacher: 'Jack Smith has qualified in 100m, 200m, Long Jump and Triple Jump at District. He can only enter 2 events at Division. Please confirm which 2 events he will compete in by [date].'</t>
        </is>
      </c>
      <c r="E21" s="64" t="inlineStr">
        <is>
          <t>SSV rule: 4 events at District, max 2 at Division. Every athlete who qualifies in 3–4 events generates a manual email chain. With 8+ schools per district and multiple qualifiers, this is 5–15 emails per carnival.</t>
        </is>
      </c>
      <c r="F21" s="65" t="inlineStr">
        <is>
          <t>✅ SportPortal enforces 2-event cap at Division entry. PE teacher selects 2 from their qualifier's 4 events when submitting. No email needed.</t>
        </is>
      </c>
    </row>
    <row r="22" ht="72" customHeight="1">
      <c r="A22" s="60" t="n">
        <v>15</v>
      </c>
      <c r="B22" s="61" t="inlineStr">
        <is>
          <t>4→2 reply from PE teacher confirming event choice</t>
        </is>
      </c>
      <c r="C22" s="62" t="inlineStr">
        <is>
          <t>Per qualifying athlete</t>
        </is>
      </c>
      <c r="D22" s="63" t="inlineStr">
        <is>
          <t>'Hi Paddy, Jack would like to do 100m and Long Jump. Thanks, [Teacher]' — each reply requires Paddy to update his spreadsheet/Meet Manager entry manually.</t>
        </is>
      </c>
      <c r="E22" s="64" t="inlineStr">
        <is>
          <t>No system to capture the choice. Each reply is a separate email that must be manually actioned.</t>
        </is>
      </c>
      <c r="F22" s="65" t="inlineStr">
        <is>
          <t>✅ Selection made in SportPortal at time of Division entry. Auto-saved.</t>
        </is>
      </c>
    </row>
    <row r="23" ht="72" customHeight="1">
      <c r="A23" s="60" t="n">
        <v>16</v>
      </c>
      <c r="B23" s="61" t="inlineStr">
        <is>
          <t>4→2 follow-up (no reply received)</t>
        </is>
      </c>
      <c r="C23" s="62" t="inlineStr">
        <is>
          <t>2–4× per carnival</t>
        </is>
      </c>
      <c r="D23" s="63" t="inlineStr">
        <is>
          <t>'Just following up — I haven't heard back about which 2 events [student] will compete in at Division. Can you please confirm by tomorrow?' — a chase email for every non-response.</t>
        </is>
      </c>
      <c r="E23" s="64" t="inlineStr">
        <is>
          <t>No deadline enforcement, no automatic reminder. Coordinator must manually track who has/hasn't responded.</t>
        </is>
      </c>
      <c r="F23" s="65" t="inlineStr">
        <is>
          <t>✅ SportPortal won't accept incomplete Division entry. PE teacher can't submit until event selection is made.</t>
        </is>
      </c>
    </row>
    <row r="24" ht="20" customHeight="1">
      <c r="A24" s="44" t="inlineStr">
        <is>
          <t>🟢  CATEGORY 5: Results Distribution &amp; Disputes</t>
        </is>
      </c>
    </row>
    <row r="25" ht="72" customHeight="1">
      <c r="A25" s="60" t="n">
        <v>17</v>
      </c>
      <c r="B25" s="61" t="inlineStr">
        <is>
          <t>Results sent to all schools for checking</t>
        </is>
      </c>
      <c r="C25" s="62" t="inlineStr">
        <is>
          <t>1× per carnival</t>
        </is>
      </c>
      <c r="D25" s="63" t="inlineStr">
        <is>
          <t>'I may have made a mistake or two' — Division coord emails results to all schools for checking before submitting to Region. Creates a window of 24-48hrs where corrections come back.</t>
        </is>
      </c>
      <c r="E25" s="64" t="inlineStr">
        <is>
          <t>No live results system. Results typed manually into spreadsheet, emailed out. Schools check their own athletes — errors only caught retrospectively.</t>
        </is>
      </c>
      <c r="F25" s="65" t="inlineStr">
        <is>
          <t>✅ SportPortal publishes results live. Schools can view their athletes' results immediately. Errors flagged in-app, not via email.</t>
        </is>
      </c>
    </row>
    <row r="26" ht="72" customHeight="1">
      <c r="A26" s="60" t="n">
        <v>18</v>
      </c>
      <c r="B26" s="61" t="inlineStr">
        <is>
          <t>Results correction request from PE teacher</t>
        </is>
      </c>
      <c r="C26" s="62" t="inlineStr">
        <is>
          <t>3–6× per carnival</t>
        </is>
      </c>
      <c r="D26" s="63" t="inlineStr">
        <is>
          <t>PE teacher → Division Coord: 'Hi, I think there's an error with Mia Thompson's 200m time — the stopwatch showed 31.4 but the results show 33.4. Can you check?' Triggers re-check of paper results, update in spreadsheet, re-distribution.</t>
        </is>
      </c>
      <c r="E26" s="64" t="inlineStr">
        <is>
          <t>Manual timing and manual results entry means transcription errors are common. Each correction requires: find the paper result → verify → update spreadsheet → re-email.</t>
        </is>
      </c>
      <c r="F26" s="65" t="inlineStr">
        <is>
          <t>✅ Results entered once in SportPortal at source. Timing errors still possible but single source of truth — no transcription layer.</t>
        </is>
      </c>
    </row>
    <row r="27" ht="72" customHeight="1">
      <c r="A27" s="60" t="n">
        <v>19</v>
      </c>
      <c r="B27" s="61" t="inlineStr">
        <is>
          <t>Parent complaint about result escalated through PE teacher</t>
        </is>
      </c>
      <c r="C27" s="62" t="inlineStr">
        <is>
          <t>1–3× per carnival</t>
        </is>
      </c>
      <c r="D27" s="63" t="inlineStr">
        <is>
          <t>Nikki Little email (confirmed real from previous session): parent complaint about a student's result or placement, escalated from parent → PE teacher → District Coord → Division Coord email chain.</t>
        </is>
      </c>
      <c r="E27" s="64" t="inlineStr">
        <is>
          <t>No audit trail or dispute mechanism. Parent disputes trigger a multi-hop email chain as each level checks their records. Often unresolvable because paper records are gone.</t>
        </is>
      </c>
      <c r="F27" s="65" t="inlineStr">
        <is>
          <t>✅ SportPortal maintains permanent digital record of all results with timestamps. Dispute resolved by checking the record, not re-tracing a 4-email chain.</t>
        </is>
      </c>
    </row>
    <row r="28" ht="72" customHeight="1">
      <c r="A28" s="60" t="n">
        <v>20</v>
      </c>
      <c r="B28" s="61" t="inlineStr">
        <is>
          <t>Results programme sent to all schools before carnival</t>
        </is>
      </c>
      <c r="C28" s="62" t="inlineStr">
        <is>
          <t>1× per carnival</t>
        </is>
      </c>
      <c r="D28" s="63" t="inlineStr">
        <is>
          <t>Paddy's entry instructions: 'I will be sending out another email that you can forward onto your schools with more information about the day, including a program.' — a separate manual email with PDF attachment to all schools.</t>
        </is>
      </c>
      <c r="E28" s="64" t="inlineStr">
        <is>
          <t>Programme only exists once Paddy has manually entered all data into Meet Manager and exported. Sent as a static PDF that becomes outdated the moment a correction is made.</t>
        </is>
      </c>
      <c r="F28" s="65" t="inlineStr">
        <is>
          <t>✅ SportPortal auto-generates programme from entries. Schools access via link — always current.</t>
        </is>
      </c>
    </row>
    <row r="29" ht="20" customHeight="1">
      <c r="A29" s="44" t="inlineStr">
        <is>
          <t>🔵  CATEGORY 6: Meet Manager Pain</t>
        </is>
      </c>
    </row>
    <row r="30" ht="72" customHeight="1">
      <c r="A30" s="60" t="n">
        <v>21</v>
      </c>
      <c r="B30" s="61" t="inlineStr">
        <is>
          <t>Meet Manager reinstall / corruption emergency</t>
        </is>
      </c>
      <c r="C30" s="62" t="inlineStr">
        <is>
          <t>~1–2× per year</t>
        </is>
      </c>
      <c r="D30" s="63" t="inlineStr">
        <is>
          <t>Mel Camilleri email (confirmed real, previous session): panic email about Meet Manager needing reinstall before carnival. Desktop software with licence management and installation failures.</t>
        </is>
      </c>
      <c r="E30" s="64" t="inlineStr">
        <is>
          <t>Meet Manager is a desktop application. Crashes, reinstalls, licence issues all cause last-minute emergencies before carnivals. No cloud backup.</t>
        </is>
      </c>
      <c r="F30" s="65" t="inlineStr">
        <is>
          <t>✅ SportPortal is browser-based. Nothing to install. No licence. Works on any device with internet.</t>
        </is>
      </c>
    </row>
    <row r="31" ht="72" customHeight="1">
      <c r="A31" s="60" t="n">
        <v>22</v>
      </c>
      <c r="B31" s="61" t="inlineStr">
        <is>
          <t>Sunday night Meet Manager data entry crunch</t>
        </is>
      </c>
      <c r="C31" s="62" t="inlineStr">
        <is>
          <t>~3× per year (one per carnival type)</t>
        </is>
      </c>
      <c r="D31" s="63" t="inlineStr">
        <is>
          <t>Division Coord working late Sunday night re-entering all athlete data from district spreadsheets into Meet Manager before Monday's carnival. Email documented in previous session.</t>
        </is>
      </c>
      <c r="E31" s="64" t="inlineStr">
        <is>
          <t>District entries arrive in Excel. Meet Manager cannot import from arbitrary Excel formats. Full manual re-entry required — every athlete, every event, every school. 3–4hrs of work the night before.</t>
        </is>
      </c>
      <c r="F31" s="65" t="inlineStr">
        <is>
          <t>✅ SportPortal IS the draw system. No re-entry. Coordinator reviews and approves with one click.</t>
        </is>
      </c>
    </row>
    <row r="32" ht="72" customHeight="1">
      <c r="A32" s="60" t="n">
        <v>23</v>
      </c>
      <c r="B32" s="61" t="inlineStr">
        <is>
          <t>Meet Manager version mismatch between coordinators</t>
        </is>
      </c>
      <c r="C32" s="62" t="inlineStr">
        <is>
          <t>~1× per year</t>
        </is>
      </c>
      <c r="D32" s="63" t="inlineStr">
        <is>
          <t>Different coordinators running different versions of Meet Manager. Files created in newer version can't be opened in older version — exchange of files breaks down.</t>
        </is>
      </c>
      <c r="E32" s="64" t="inlineStr">
        <is>
          <t>Desktop software with paid version updates. Not all districts/divisions on same version. Creates compatibility problems when sharing MM files.</t>
        </is>
      </c>
      <c r="F32" s="65" t="inlineStr">
        <is>
          <t>✅ Single cloud platform. Everyone is always on the same version.</t>
        </is>
      </c>
    </row>
    <row r="33" ht="20" customHeight="1">
      <c r="A33" s="44" t="inlineStr">
        <is>
          <t>⚙️  CATEGORY 7: Logistics &amp; Coordination Queries</t>
        </is>
      </c>
    </row>
    <row r="34" ht="72" customHeight="1">
      <c r="A34" s="60" t="n">
        <v>24</v>
      </c>
      <c r="B34" s="61" t="inlineStr">
        <is>
          <t>Transport consent form distribution and return</t>
        </is>
      </c>
      <c r="C34" s="62" t="inlineStr">
        <is>
          <t>1× per student per carnival</t>
        </is>
      </c>
      <c r="D34" s="63" t="inlineStr">
        <is>
          <t>David Nahm email (confirmed real): separate transport consent form required per student per carnival. Distributed by PE teacher, collected, forwarded to coordinator.</t>
        </is>
      </c>
      <c r="E34" s="64" t="inlineStr">
        <is>
          <t>Separate paper/PDF process outside of any sport system. Not linked to entry data. Parent who signed consent is not linked to the athlete entry.</t>
        </is>
      </c>
      <c r="F34" s="65" t="inlineStr">
        <is>
          <t>✅ SportPortal integrates consent confirmation at student entry — parent/guardian consent captured online as part of registration. No separate form.</t>
        </is>
      </c>
    </row>
    <row r="35" ht="72" customHeight="1">
      <c r="A35" s="60" t="n">
        <v>25</v>
      </c>
      <c r="B35" s="61" t="inlineStr">
        <is>
          <t>Bus availability inquiry</t>
        </is>
      </c>
      <c r="C35" s="62" t="inlineStr">
        <is>
          <t>1–2× per carnival</t>
        </is>
      </c>
      <c r="D35" s="63" t="inlineStr">
        <is>
          <t>Charlotte Jezard → Paddy: 'Bus Availability Inquiry' for carnival day (confirmed real, Feb 2026). School checking bus availability before committing students to carnival.</t>
        </is>
      </c>
      <c r="E35" s="64" t="inlineStr">
        <is>
          <t>Transport logistics are completely disconnected from entry system. Schools must separately confirm bus availability, then separately submit entries — two processes that should be one.</t>
        </is>
      </c>
      <c r="F35" s="65" t="inlineStr">
        <is>
          <t>✅ SportPortal can surface carnival date/transport requirements at entry time so schools know what they need before they commit entries.</t>
        </is>
      </c>
    </row>
    <row r="36" ht="72" customHeight="1">
      <c r="A36" s="60" t="n">
        <v>26</v>
      </c>
      <c r="B36" s="61" t="inlineStr">
        <is>
          <t>Staffing / day representative confirmation</t>
        </is>
      </c>
      <c r="C36" s="62" t="inlineStr">
        <is>
          <t>1–2× per carnival</t>
        </is>
      </c>
      <c r="D36" s="63" t="inlineStr">
        <is>
          <t>Jason Maxwell WMR email (confirmed real): queries about who will be representing/available on the day of carnival for coordination duties.</t>
        </is>
      </c>
      <c r="E36" s="64" t="inlineStr">
        <is>
          <t>No system for coordinators to register their day-representative or communicate staffing. Handled via ad-hoc email chain.</t>
        </is>
      </c>
      <c r="F36" s="65" t="inlineStr">
        <is>
          <t>✅ SportPortal coordinator profile includes 'day rep' field. Visible to all relevant coordinators before the carnival.</t>
        </is>
      </c>
    </row>
    <row r="37" ht="72" customHeight="1">
      <c r="A37" s="60" t="n">
        <v>27</v>
      </c>
      <c r="B37" s="61" t="inlineStr">
        <is>
          <t>Date/scheduling query or confusion</t>
        </is>
      </c>
      <c r="C37" s="62" t="inlineStr">
        <is>
          <t>1–3× per year</t>
        </is>
      </c>
      <c r="D37" s="63" t="inlineStr">
        <is>
          <t>Jamie Edwards: 'Our swimming is 25th... I can look ha...' — suggests a date discrepancy between what Jamie thought the swim date was vs what was in the entry email.</t>
        </is>
      </c>
      <c r="E37" s="64" t="inlineStr">
        <is>
          <t>Carnival dates communicated via email. Easy to lose in a long thread or confuse between years. No single authoritative calendar that all coordinators reference.</t>
        </is>
      </c>
      <c r="F37" s="65" t="inlineStr">
        <is>
          <t>✅ SportPortal calendar shows all carnival dates per district/division. Single source of truth. No date confusion.</t>
        </is>
      </c>
    </row>
    <row r="38" ht="72" customHeight="1">
      <c r="A38" s="60" t="n">
        <v>28</v>
      </c>
      <c r="B38" s="61" t="inlineStr">
        <is>
          <t>Coordinator handover / role change notification</t>
        </is>
      </c>
      <c r="C38" s="62" t="inlineStr">
        <is>
          <t>~1× per year</t>
        </is>
      </c>
      <c r="D38" s="63" t="inlineStr">
        <is>
          <t>Mary Wisby → Paddy: 'SSV Division Handover' email (confirmed real, July 2021). Outgoing coordinator notifying SSV and Division of changeover. 'I will notify HR. M...'</t>
        </is>
      </c>
      <c r="E38" s="64" t="inlineStr">
        <is>
          <t>No system-level coordinator tracking. Role changes handled via email chain. New coordinator inherits ad-hoc email threads, no structured handover of data or history.</t>
        </is>
      </c>
      <c r="F38" s="65" t="inlineStr">
        <is>
          <t>✅ SportPortal coordinator accounts — role reassignment means the new person inherits all historical data instantly. No separate handover required.</t>
        </is>
      </c>
    </row>
    <row r="39" ht="20" customHeight="1">
      <c r="A39" s="44" t="inlineStr">
        <is>
          <t>⚠️  CATEGORY 8: Rule Inconsistency Queries</t>
        </is>
      </c>
    </row>
    <row r="40" ht="72" customHeight="1">
      <c r="A40" s="60" t="n">
        <v>29</v>
      </c>
      <c r="B40" s="61" t="inlineStr">
        <is>
          <t>Relay team count query (1 vs 2 allowed)</t>
        </is>
      </c>
      <c r="C40" s="62" t="inlineStr">
        <is>
          <t>1–2× per carnival type</t>
        </is>
      </c>
      <c r="D40" s="63" t="inlineStr">
        <is>
          <t>Paddy's entry instructions: 'If you choose to send two [relay teams] through, please send a second copy of the excel spreadsheet.' — different districts allow 1 or 2 relay teams. PE teachers ask each year.</t>
        </is>
      </c>
      <c r="E40" s="64" t="inlineStr">
        <is>
          <t>Relay rules vary by district/division. Not stored anywhere officially. PE teachers ask every year because last year's rule may have changed and there's no authoritative source.</t>
        </is>
      </c>
      <c r="F40" s="65" t="inlineStr">
        <is>
          <t>✅ SportPortal stores relay rules per event per district. Rule displayed at point of entry — no query needed.</t>
        </is>
      </c>
    </row>
    <row r="41" ht="72" customHeight="1">
      <c r="A41" s="60" t="n">
        <v>30</v>
      </c>
      <c r="B41" s="61" t="inlineStr">
        <is>
          <t>Measurement method query (tape vs cone at landing)</t>
        </is>
      </c>
      <c r="C41" s="62" t="inlineStr">
        <is>
          <t>1–2× per year</t>
        </is>
      </c>
      <c r="D41" s="63" t="inlineStr">
        <is>
          <t>Some districts use proper tape measurement for jumps/throws; others use 'cone at landing' or 'first-past-post' estimate. PE teachers at new schools ask which applies for their district.</t>
        </is>
      </c>
      <c r="E41" s="64" t="inlineStr">
        <is>
          <t>No documented, accessible rule per district. Verbal tradition — asks Paddy who knows from experience.</t>
        </is>
      </c>
      <c r="F41" s="65" t="inlineStr">
        <is>
          <t>✅ SportPortal district settings include measurement standard. Visible to all PE teachers in that district.</t>
        </is>
      </c>
    </row>
    <row r="42" ht="72" customHeight="1">
      <c r="A42" s="60" t="n">
        <v>31</v>
      </c>
      <c r="B42" s="61" t="inlineStr">
        <is>
          <t>Age group boundary query</t>
        </is>
      </c>
      <c r="C42" s="62" t="inlineStr">
        <is>
          <t>1–3× per year</t>
        </is>
      </c>
      <c r="D42" s="63" t="inlineStr">
        <is>
          <t>'Is [student born on boundary date] 12 Years or 13 Years for this carnival?' — age cut-off dates vary slightly by sport and level.</t>
        </is>
      </c>
      <c r="E42" s="64" t="inlineStr">
        <is>
          <t>Age cut-offs documented in SSV manual but not always remembered. PE teachers ask rather than look it up.</t>
        </is>
      </c>
      <c r="F42" s="65" t="inlineStr">
        <is>
          <t>✅ SportPortal calculates age group automatically from DOB. No query possible.</t>
        </is>
      </c>
    </row>
    <row r="43" ht="20" customHeight="1">
      <c r="A43" s="44" t="inlineStr">
        <is>
          <t>💰  CATEGORY 9: Administrative &amp; Payment Emails</t>
        </is>
      </c>
    </row>
    <row r="44" ht="72" customHeight="1">
      <c r="A44" s="60" t="n">
        <v>32</v>
      </c>
      <c r="B44" s="61" t="inlineStr">
        <is>
          <t>Coordinator payment confirmation / invoicing</t>
        </is>
      </c>
      <c r="C44" s="62" t="inlineStr">
        <is>
          <t>4× per year (per term)</t>
        </is>
      </c>
      <c r="D44" s="63" t="inlineStr">
        <is>
          <t>Sharon Veale (Business Manager) → Jamie Edwards (CC Paddy): 'Can you please email me confirmation that the 2024 payment for Wyndham Vale District position is $4,200 and that you would like to be paid $2,100 in the next pay period then $1,050 at end of term 3 and term 4?' (18/07/2024)</t>
        </is>
      </c>
      <c r="E44" s="64" t="inlineStr">
        <is>
          <t>SSV pays Division/Region coordinators via manual invoice/eduPay process. Each payment requires email confirmation of amounts and schedule. 4 payment periods = 4 email exchanges per year.</t>
        </is>
      </c>
      <c r="F44" s="65" t="inlineStr">
        <is>
          <t>✅ SportPortal coordinator profile includes payment details. Auto-generated payment schedule. No confirmation email chain needed.</t>
        </is>
      </c>
    </row>
    <row r="45" ht="72" customHeight="1">
      <c r="A45" s="60" t="n">
        <v>33</v>
      </c>
      <c r="B45" s="61" t="inlineStr">
        <is>
          <t>Annual coordinator appointment process</t>
        </is>
      </c>
      <c r="C45" s="62" t="inlineStr">
        <is>
          <t>1× per year</t>
        </is>
      </c>
      <c r="D45" s="63" t="inlineStr">
        <is>
          <t>Kirsteen Farrance (SSV Operations Manager) → all Division Coordinators: 'Primary Division Coordinator positions are being advertised for appointment in 2022... In 2022, each position will attract a special payment of up to $4500 via eduPay... Applications close 5pm Monday 18 October 2021.' (Sep 2021)</t>
        </is>
      </c>
      <c r="E45" s="64" t="inlineStr">
        <is>
          <t>Annual appointment cycle managed via bulk email + external application link. No integrated system for coordinator recruitment, appointment and onboarding.</t>
        </is>
      </c>
      <c r="F45" s="65" t="inlineStr">
        <is>
          <t>✅ SportPortal coordinator management module: application, appointment and onboarding tracked in-platform.</t>
        </is>
      </c>
    </row>
    <row r="47" ht="36" customHeight="1">
      <c r="A47" s="66" t="inlineStr">
        <is>
          <t>TOTAL: 33 email types documented — every one eliminated or dramatically reduced by SportPortal. Conservative estimate: 40–80 sport-admin emails per coordinator per carnival × 3 carnivals/yr = 120–240 emails/yr per coordinator replaced by a dashboard.</t>
        </is>
      </c>
    </row>
  </sheetData>
  <mergeCells count="12">
    <mergeCell ref="A24:F24"/>
    <mergeCell ref="A2:F2"/>
    <mergeCell ref="A33:F33"/>
    <mergeCell ref="A47:F47"/>
    <mergeCell ref="A1:F1"/>
    <mergeCell ref="A29:F29"/>
    <mergeCell ref="A8:F8"/>
    <mergeCell ref="A4:F4"/>
    <mergeCell ref="A20:F20"/>
    <mergeCell ref="A39:F39"/>
    <mergeCell ref="A15:F15"/>
    <mergeCell ref="A43:F4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2026-04-28T14:35:32Z</dcterms:created>
  <dcterms:modified xmlns:dcterms="http://purl.org/dc/terms/" xmlns:xsi="http://www.w3.org/2001/XMLSchema-instance" xsi:type="dcterms:W3CDTF">2026-04-28T14:51:18Z</dcterms:modified>
</cp:coreProperties>
</file>